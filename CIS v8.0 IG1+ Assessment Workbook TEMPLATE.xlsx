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stateoforegon.sharepoint.com/sites/RiskManagement/Shared Documents/General/Templates/CIS Controls Assessment/"/>
    </mc:Choice>
  </mc:AlternateContent>
  <xr:revisionPtr revIDLastSave="17827" documentId="8_{53B854B0-9DE4-4CC2-B36F-A2E90DD9D0AF}" xr6:coauthVersionLast="47" xr6:coauthVersionMax="47" xr10:uidLastSave="{AB30F9EC-FAB5-4E6B-B0F5-B4E4AC8F9248}"/>
  <bookViews>
    <workbookView xWindow="-120" yWindow="-120" windowWidth="29040" windowHeight="17520" tabRatio="908" xr2:uid="{00000000-000D-0000-FFFF-FFFF00000000}"/>
  </bookViews>
  <sheets>
    <sheet name="Info" sheetId="25" r:id="rId1"/>
    <sheet name="GlobalSettings" sheetId="5" r:id="rId2"/>
    <sheet name="Dashboards" sheetId="30" r:id="rId3"/>
    <sheet name="Artifacts" sheetId="2" r:id="rId4"/>
    <sheet name="ScoringTables" sheetId="3" r:id="rId5"/>
    <sheet name="Control 01" sheetId="1" r:id="rId6"/>
    <sheet name="Control 02" sheetId="7" r:id="rId7"/>
    <sheet name="Control 03" sheetId="9" r:id="rId8"/>
    <sheet name="Control 04" sheetId="10" r:id="rId9"/>
    <sheet name="Control 05" sheetId="11" r:id="rId10"/>
    <sheet name="Control 06" sheetId="12" r:id="rId11"/>
    <sheet name="Control 07" sheetId="13" r:id="rId12"/>
    <sheet name="Control 08" sheetId="14" r:id="rId13"/>
    <sheet name="Control 09" sheetId="15" r:id="rId14"/>
    <sheet name="Control 10" sheetId="16" r:id="rId15"/>
    <sheet name="Control 11" sheetId="17" r:id="rId16"/>
    <sheet name="Control 12" sheetId="18" r:id="rId17"/>
    <sheet name="Control 13" sheetId="19" r:id="rId18"/>
    <sheet name="Control 14" sheetId="20" r:id="rId19"/>
    <sheet name="Control 15" sheetId="21" r:id="rId20"/>
    <sheet name="Control 16" sheetId="22" r:id="rId21"/>
    <sheet name="Control 17" sheetId="23" r:id="rId22"/>
    <sheet name="Control 18" sheetId="24" r:id="rId23"/>
    <sheet name="Summary" sheetId="31" r:id="rId24"/>
    <sheet name="POAM" sheetId="33" r:id="rId25"/>
    <sheet name="Template" sheetId="8" state="hidden" r:id="rId26"/>
  </sheets>
  <definedNames>
    <definedName name="_xlnm._FilterDatabase" localSheetId="24" hidden="1">POAM!$A$1:$Q$156</definedName>
    <definedName name="_xlnm._FilterDatabase" localSheetId="4" hidden="1">ScoringTables!$D$2:$I$2</definedName>
    <definedName name="_xlnm._FilterDatabase" localSheetId="23" hidden="1">Summary!$A$1:$G$154</definedName>
    <definedName name="BASELINES">#REF!</definedName>
    <definedName name="basetable">#REF!</definedName>
    <definedName name="CISCONTROLS">#REF!</definedName>
    <definedName name="controls">#REF!</definedName>
    <definedName name="controls2">#REF!</definedName>
    <definedName name="ljhdsf">#REF!</definedName>
    <definedName name="newcontrols">#REF!</definedName>
    <definedName name="newNIST">#REF!</definedName>
    <definedName name="NIST">#REF!</definedName>
    <definedName name="NISTCONTROLS">#REF!</definedName>
    <definedName name="nxwalkr4">#REF!</definedName>
    <definedName name="_xlnm.Print_Area" localSheetId="2">Dashboards!$DH$47</definedName>
    <definedName name="_xlnm.Print_Area" localSheetId="23">Summary!$C$1:$G$154</definedName>
    <definedName name="XWALKR4">#REF!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1" l="1"/>
  <c r="F54" i="1"/>
  <c r="F53" i="1"/>
  <c r="F52" i="1"/>
  <c r="F7" i="7"/>
  <c r="F16" i="7"/>
  <c r="F28" i="9"/>
  <c r="F31" i="16"/>
  <c r="F27" i="16"/>
  <c r="F32" i="16" s="1"/>
  <c r="F96" i="9"/>
  <c r="F89" i="9"/>
  <c r="F15" i="7"/>
  <c r="F84" i="7"/>
  <c r="F64" i="10"/>
  <c r="F65" i="10" s="1"/>
  <c r="J5" i="3"/>
  <c r="H5" i="3"/>
  <c r="I5" i="33"/>
  <c r="I6" i="33"/>
  <c r="I7" i="33"/>
  <c r="I8" i="33"/>
  <c r="I9" i="33"/>
  <c r="I10" i="33"/>
  <c r="I11" i="33"/>
  <c r="I12" i="33"/>
  <c r="I13" i="33"/>
  <c r="I14" i="33"/>
  <c r="I15" i="33"/>
  <c r="I16" i="33"/>
  <c r="I17" i="33"/>
  <c r="I18" i="33"/>
  <c r="I19" i="33"/>
  <c r="I20" i="33"/>
  <c r="I21" i="33"/>
  <c r="I22" i="33"/>
  <c r="I23" i="33"/>
  <c r="I24" i="33"/>
  <c r="I25" i="33"/>
  <c r="I26" i="33"/>
  <c r="I27" i="33"/>
  <c r="I28" i="33"/>
  <c r="I29" i="33"/>
  <c r="I30" i="33"/>
  <c r="I31" i="33"/>
  <c r="I32" i="33"/>
  <c r="I33" i="33"/>
  <c r="I34" i="33"/>
  <c r="I35" i="33"/>
  <c r="I36" i="33"/>
  <c r="I37" i="33"/>
  <c r="I38" i="33"/>
  <c r="I39" i="33"/>
  <c r="I40" i="33"/>
  <c r="I41" i="33"/>
  <c r="I42" i="33"/>
  <c r="I43" i="33"/>
  <c r="I44" i="33"/>
  <c r="I45" i="33"/>
  <c r="I46" i="33"/>
  <c r="I47" i="33"/>
  <c r="I48" i="33"/>
  <c r="I49" i="33"/>
  <c r="I50" i="33"/>
  <c r="I51" i="33"/>
  <c r="I52" i="33"/>
  <c r="I53" i="33"/>
  <c r="I54" i="33"/>
  <c r="I55" i="33"/>
  <c r="I56" i="33"/>
  <c r="I57" i="33"/>
  <c r="I58" i="33"/>
  <c r="I59" i="33"/>
  <c r="I60" i="33"/>
  <c r="I61" i="33"/>
  <c r="I62" i="33"/>
  <c r="I63" i="33"/>
  <c r="I64" i="33"/>
  <c r="I65" i="33"/>
  <c r="I66" i="33"/>
  <c r="I67" i="33"/>
  <c r="I68" i="33"/>
  <c r="I69" i="33"/>
  <c r="I70" i="33"/>
  <c r="I71" i="33"/>
  <c r="I72" i="33"/>
  <c r="I73" i="33"/>
  <c r="I74" i="33"/>
  <c r="I75" i="33"/>
  <c r="I76" i="33"/>
  <c r="I77" i="33"/>
  <c r="I78" i="33"/>
  <c r="I79" i="33"/>
  <c r="I80" i="33"/>
  <c r="I81" i="33"/>
  <c r="I82" i="33"/>
  <c r="I83" i="33"/>
  <c r="I84" i="33"/>
  <c r="I85" i="33"/>
  <c r="I86" i="33"/>
  <c r="I87" i="33"/>
  <c r="I88" i="33"/>
  <c r="I89" i="33"/>
  <c r="I90" i="33"/>
  <c r="I91" i="33"/>
  <c r="I92" i="33"/>
  <c r="I93" i="33"/>
  <c r="I94" i="33"/>
  <c r="I95" i="33"/>
  <c r="I96" i="33"/>
  <c r="I97" i="33"/>
  <c r="I98" i="33"/>
  <c r="I99" i="33"/>
  <c r="I100" i="33"/>
  <c r="I101" i="33"/>
  <c r="I102" i="33"/>
  <c r="I103" i="33"/>
  <c r="I104" i="33"/>
  <c r="I105" i="33"/>
  <c r="I106" i="33"/>
  <c r="I107" i="33"/>
  <c r="I108" i="33"/>
  <c r="I109" i="33"/>
  <c r="I110" i="33"/>
  <c r="I111" i="33"/>
  <c r="I112" i="33"/>
  <c r="I113" i="33"/>
  <c r="I114" i="33"/>
  <c r="I115" i="33"/>
  <c r="I116" i="33"/>
  <c r="I117" i="33"/>
  <c r="I118" i="33"/>
  <c r="I119" i="33"/>
  <c r="I120" i="33"/>
  <c r="I121" i="33"/>
  <c r="I122" i="33"/>
  <c r="I123" i="33"/>
  <c r="I124" i="33"/>
  <c r="I125" i="33"/>
  <c r="I126" i="33"/>
  <c r="I127" i="33"/>
  <c r="I128" i="33"/>
  <c r="I129" i="33"/>
  <c r="I130" i="33"/>
  <c r="I131" i="33"/>
  <c r="I132" i="33"/>
  <c r="I133" i="33"/>
  <c r="I134" i="33"/>
  <c r="I135" i="33"/>
  <c r="I136" i="33"/>
  <c r="I137" i="33"/>
  <c r="I138" i="33"/>
  <c r="I139" i="33"/>
  <c r="I140" i="33"/>
  <c r="I141" i="33"/>
  <c r="I142" i="33"/>
  <c r="I143" i="33"/>
  <c r="I144" i="33"/>
  <c r="I145" i="33"/>
  <c r="I146" i="33"/>
  <c r="I147" i="33"/>
  <c r="I148" i="33"/>
  <c r="I149" i="33"/>
  <c r="I150" i="33"/>
  <c r="I151" i="33"/>
  <c r="I152" i="33"/>
  <c r="I153" i="33"/>
  <c r="I154" i="33"/>
  <c r="I155" i="33"/>
  <c r="I156" i="33"/>
  <c r="I4" i="33"/>
  <c r="J3" i="33"/>
  <c r="F118" i="20"/>
  <c r="F105" i="20"/>
  <c r="F92" i="20"/>
  <c r="F79" i="20"/>
  <c r="F66" i="20"/>
  <c r="F53" i="20"/>
  <c r="F40" i="20"/>
  <c r="F27" i="20"/>
  <c r="F40" i="1"/>
  <c r="F39" i="1"/>
  <c r="F36" i="1" l="1"/>
  <c r="H17" i="3"/>
  <c r="H22" i="3"/>
  <c r="J17" i="3"/>
  <c r="J23" i="3"/>
  <c r="F45" i="7"/>
  <c r="F26" i="13"/>
  <c r="F45" i="13"/>
  <c r="F44" i="11" l="1"/>
  <c r="F36" i="11"/>
  <c r="F21" i="11"/>
  <c r="F34" i="1"/>
  <c r="F38" i="1"/>
  <c r="J119" i="3"/>
  <c r="J155" i="3"/>
  <c r="J154" i="3"/>
  <c r="J153" i="3"/>
  <c r="J151" i="3"/>
  <c r="J150" i="3"/>
  <c r="J149" i="3"/>
  <c r="J148" i="3"/>
  <c r="J147" i="3"/>
  <c r="J146" i="3"/>
  <c r="J145" i="3"/>
  <c r="J141" i="3"/>
  <c r="J140" i="3"/>
  <c r="J139" i="3"/>
  <c r="J138" i="3"/>
  <c r="J137" i="3"/>
  <c r="J136" i="3"/>
  <c r="J135" i="3"/>
  <c r="J134" i="3"/>
  <c r="J133" i="3"/>
  <c r="J132" i="3"/>
  <c r="J131" i="3"/>
  <c r="J130" i="3"/>
  <c r="J129" i="3"/>
  <c r="J128" i="3"/>
  <c r="J127" i="3"/>
  <c r="J126" i="3"/>
  <c r="J125" i="3"/>
  <c r="J124" i="3"/>
  <c r="J123" i="3"/>
  <c r="J122" i="3"/>
  <c r="J120" i="3"/>
  <c r="J118" i="3"/>
  <c r="J111" i="3"/>
  <c r="J110" i="3"/>
  <c r="J109" i="3"/>
  <c r="J108" i="3"/>
  <c r="J106" i="3"/>
  <c r="J105" i="3"/>
  <c r="J104" i="3"/>
  <c r="J103" i="3"/>
  <c r="J102" i="3"/>
  <c r="J100" i="3"/>
  <c r="J99" i="3"/>
  <c r="J98" i="3"/>
  <c r="J97" i="3"/>
  <c r="J96" i="3"/>
  <c r="J95" i="3"/>
  <c r="J94" i="3"/>
  <c r="J93" i="3"/>
  <c r="J92" i="3"/>
  <c r="J87" i="3"/>
  <c r="J86" i="3"/>
  <c r="J85" i="3"/>
  <c r="J84" i="3"/>
  <c r="J80" i="3"/>
  <c r="J79" i="3"/>
  <c r="J78" i="3"/>
  <c r="J77" i="3"/>
  <c r="J76" i="3"/>
  <c r="J73" i="3"/>
  <c r="J69" i="3"/>
  <c r="J68" i="3"/>
  <c r="J67" i="3"/>
  <c r="J61" i="3"/>
  <c r="J54" i="3"/>
  <c r="J53" i="3"/>
  <c r="J52" i="3"/>
  <c r="J49" i="3"/>
  <c r="J46" i="3"/>
  <c r="J45" i="3"/>
  <c r="J40" i="3"/>
  <c r="J39" i="3"/>
  <c r="J38" i="3"/>
  <c r="J37" i="3"/>
  <c r="J36" i="3"/>
  <c r="J34" i="3"/>
  <c r="J30" i="3"/>
  <c r="J28" i="3"/>
  <c r="J27" i="3"/>
  <c r="J26" i="3"/>
  <c r="J25" i="3"/>
  <c r="J24" i="3"/>
  <c r="J22" i="3"/>
  <c r="J14" i="3"/>
  <c r="J13" i="3"/>
  <c r="J12" i="3"/>
  <c r="J152" i="3"/>
  <c r="J144" i="3"/>
  <c r="J143" i="3"/>
  <c r="J142" i="3"/>
  <c r="J121" i="3"/>
  <c r="J117" i="3"/>
  <c r="J116" i="3"/>
  <c r="J115" i="3"/>
  <c r="J114" i="3"/>
  <c r="J113" i="3"/>
  <c r="J112" i="3"/>
  <c r="J107" i="3"/>
  <c r="J101" i="3"/>
  <c r="J91" i="3"/>
  <c r="J90" i="3"/>
  <c r="J89" i="3"/>
  <c r="J88" i="3"/>
  <c r="J83" i="3"/>
  <c r="J82" i="3"/>
  <c r="J81" i="3"/>
  <c r="J75" i="3"/>
  <c r="J74" i="3"/>
  <c r="J72" i="3"/>
  <c r="J71" i="3"/>
  <c r="J70" i="3"/>
  <c r="J66" i="3"/>
  <c r="J65" i="3"/>
  <c r="J64" i="3"/>
  <c r="J63" i="3"/>
  <c r="J62" i="3"/>
  <c r="J60" i="3"/>
  <c r="J59" i="3"/>
  <c r="J58" i="3"/>
  <c r="J57" i="3"/>
  <c r="J56" i="3"/>
  <c r="J55" i="3"/>
  <c r="J51" i="3"/>
  <c r="J50" i="3"/>
  <c r="J48" i="3"/>
  <c r="J47" i="3"/>
  <c r="J44" i="3"/>
  <c r="J43" i="3"/>
  <c r="J42" i="3"/>
  <c r="J41" i="3"/>
  <c r="J35" i="3"/>
  <c r="J33" i="3"/>
  <c r="J32" i="3"/>
  <c r="J31" i="3"/>
  <c r="J29" i="3"/>
  <c r="J21" i="3"/>
  <c r="J20" i="3"/>
  <c r="J19" i="3"/>
  <c r="J18" i="3"/>
  <c r="J16" i="3"/>
  <c r="J15" i="3"/>
  <c r="J11" i="3"/>
  <c r="J10" i="3"/>
  <c r="J9" i="3"/>
  <c r="J8" i="3"/>
  <c r="J6" i="3"/>
  <c r="J7" i="3"/>
  <c r="J4" i="3"/>
  <c r="H6" i="3"/>
  <c r="J3" i="3"/>
  <c r="F14" i="15"/>
  <c r="N28" i="3" l="1"/>
  <c r="F43" i="21"/>
  <c r="E154" i="31"/>
  <c r="E156" i="33" s="1"/>
  <c r="E153" i="31"/>
  <c r="E155" i="33" s="1"/>
  <c r="E152" i="31"/>
  <c r="E154" i="33" s="1"/>
  <c r="E151" i="31"/>
  <c r="E153" i="33" s="1"/>
  <c r="E150" i="31"/>
  <c r="E152" i="33" s="1"/>
  <c r="E149" i="31"/>
  <c r="E151" i="33" s="1"/>
  <c r="E148" i="31"/>
  <c r="E150" i="33" s="1"/>
  <c r="E147" i="31"/>
  <c r="E149" i="33" s="1"/>
  <c r="E146" i="31"/>
  <c r="E148" i="33" s="1"/>
  <c r="E145" i="31"/>
  <c r="E147" i="33" s="1"/>
  <c r="E144" i="31"/>
  <c r="E146" i="33" s="1"/>
  <c r="E143" i="31"/>
  <c r="E145" i="33" s="1"/>
  <c r="E142" i="31"/>
  <c r="E144" i="33" s="1"/>
  <c r="E141" i="31"/>
  <c r="E143" i="33" s="1"/>
  <c r="E140" i="31"/>
  <c r="E142" i="33" s="1"/>
  <c r="E139" i="31"/>
  <c r="E141" i="33" s="1"/>
  <c r="E138" i="31"/>
  <c r="E140" i="33" s="1"/>
  <c r="E137" i="31"/>
  <c r="E139" i="33" s="1"/>
  <c r="E136" i="31"/>
  <c r="E138" i="33" s="1"/>
  <c r="E135" i="31"/>
  <c r="E137" i="33" s="1"/>
  <c r="E134" i="31"/>
  <c r="E136" i="33" s="1"/>
  <c r="E133" i="31"/>
  <c r="E135" i="33" s="1"/>
  <c r="E132" i="31"/>
  <c r="E134" i="33" s="1"/>
  <c r="E131" i="31"/>
  <c r="E133" i="33" s="1"/>
  <c r="E130" i="31"/>
  <c r="E132" i="33" s="1"/>
  <c r="E129" i="31"/>
  <c r="E131" i="33" s="1"/>
  <c r="E128" i="31"/>
  <c r="E130" i="33" s="1"/>
  <c r="E127" i="31"/>
  <c r="E129" i="33" s="1"/>
  <c r="E126" i="31"/>
  <c r="E128" i="33" s="1"/>
  <c r="E125" i="31"/>
  <c r="E127" i="33" s="1"/>
  <c r="E124" i="31"/>
  <c r="E126" i="33" s="1"/>
  <c r="E123" i="31"/>
  <c r="E125" i="33" s="1"/>
  <c r="E122" i="31"/>
  <c r="E124" i="33" s="1"/>
  <c r="E121" i="31"/>
  <c r="E123" i="33" s="1"/>
  <c r="E120" i="31"/>
  <c r="E122" i="33" s="1"/>
  <c r="E119" i="31"/>
  <c r="E121" i="33" s="1"/>
  <c r="E118" i="31"/>
  <c r="E120" i="33" s="1"/>
  <c r="E117" i="31"/>
  <c r="E119" i="33" s="1"/>
  <c r="E116" i="31"/>
  <c r="E118" i="33" s="1"/>
  <c r="E115" i="31"/>
  <c r="E117" i="33" s="1"/>
  <c r="E114" i="31"/>
  <c r="E116" i="33" s="1"/>
  <c r="E113" i="31"/>
  <c r="E115" i="33" s="1"/>
  <c r="E112" i="31"/>
  <c r="E114" i="33" s="1"/>
  <c r="E111" i="31"/>
  <c r="E113" i="33" s="1"/>
  <c r="E110" i="31"/>
  <c r="E112" i="33" s="1"/>
  <c r="E109" i="31"/>
  <c r="E111" i="33" s="1"/>
  <c r="E108" i="31"/>
  <c r="E110" i="33" s="1"/>
  <c r="E107" i="31"/>
  <c r="E109" i="33" s="1"/>
  <c r="E106" i="31"/>
  <c r="E108" i="33" s="1"/>
  <c r="E105" i="31"/>
  <c r="E107" i="33" s="1"/>
  <c r="E104" i="31"/>
  <c r="E106" i="33" s="1"/>
  <c r="E103" i="31"/>
  <c r="E105" i="33" s="1"/>
  <c r="E102" i="31"/>
  <c r="E104" i="33" s="1"/>
  <c r="E101" i="31"/>
  <c r="E103" i="33" s="1"/>
  <c r="E100" i="31"/>
  <c r="E102" i="33" s="1"/>
  <c r="E99" i="31"/>
  <c r="E101" i="33" s="1"/>
  <c r="E98" i="31"/>
  <c r="E100" i="33" s="1"/>
  <c r="E97" i="31"/>
  <c r="E99" i="33" s="1"/>
  <c r="E96" i="31"/>
  <c r="E98" i="33" s="1"/>
  <c r="E95" i="31"/>
  <c r="E97" i="33" s="1"/>
  <c r="E94" i="31"/>
  <c r="E96" i="33" s="1"/>
  <c r="E93" i="31"/>
  <c r="E95" i="33" s="1"/>
  <c r="E92" i="31"/>
  <c r="E94" i="33" s="1"/>
  <c r="E91" i="31"/>
  <c r="E93" i="33" s="1"/>
  <c r="E90" i="31"/>
  <c r="E92" i="33" s="1"/>
  <c r="E89" i="31"/>
  <c r="E91" i="33" s="1"/>
  <c r="E88" i="31"/>
  <c r="E90" i="33" s="1"/>
  <c r="E87" i="31"/>
  <c r="E89" i="33" s="1"/>
  <c r="E86" i="31"/>
  <c r="E88" i="33" s="1"/>
  <c r="E85" i="31"/>
  <c r="E87" i="33" s="1"/>
  <c r="E84" i="31"/>
  <c r="E86" i="33" s="1"/>
  <c r="E83" i="31"/>
  <c r="E85" i="33" s="1"/>
  <c r="E82" i="31"/>
  <c r="E84" i="33" s="1"/>
  <c r="E81" i="31"/>
  <c r="E83" i="33" s="1"/>
  <c r="E80" i="31"/>
  <c r="E82" i="33" s="1"/>
  <c r="E79" i="31"/>
  <c r="E81" i="33" s="1"/>
  <c r="E78" i="31"/>
  <c r="E80" i="33" s="1"/>
  <c r="E77" i="31"/>
  <c r="E79" i="33" s="1"/>
  <c r="E76" i="31"/>
  <c r="E78" i="33" s="1"/>
  <c r="E75" i="31"/>
  <c r="E77" i="33" s="1"/>
  <c r="E74" i="31"/>
  <c r="E76" i="33" s="1"/>
  <c r="E73" i="31"/>
  <c r="E75" i="33" s="1"/>
  <c r="E72" i="31"/>
  <c r="E74" i="33" s="1"/>
  <c r="E71" i="31"/>
  <c r="E73" i="33" s="1"/>
  <c r="E70" i="31"/>
  <c r="E72" i="33" s="1"/>
  <c r="E69" i="31"/>
  <c r="E71" i="33" s="1"/>
  <c r="E68" i="31"/>
  <c r="E70" i="33" s="1"/>
  <c r="E67" i="31"/>
  <c r="E69" i="33" s="1"/>
  <c r="E66" i="31"/>
  <c r="E68" i="33" s="1"/>
  <c r="E65" i="31"/>
  <c r="E67" i="33" s="1"/>
  <c r="E64" i="31"/>
  <c r="E66" i="33" s="1"/>
  <c r="E63" i="31"/>
  <c r="E65" i="33" s="1"/>
  <c r="E62" i="31"/>
  <c r="E64" i="33" s="1"/>
  <c r="E61" i="31"/>
  <c r="E63" i="33" s="1"/>
  <c r="E60" i="31"/>
  <c r="E62" i="33" s="1"/>
  <c r="E59" i="31"/>
  <c r="E61" i="33" s="1"/>
  <c r="E58" i="31"/>
  <c r="E60" i="33" s="1"/>
  <c r="E57" i="31"/>
  <c r="E59" i="33" s="1"/>
  <c r="E56" i="31"/>
  <c r="E58" i="33" s="1"/>
  <c r="E55" i="31"/>
  <c r="E57" i="33" s="1"/>
  <c r="E54" i="31"/>
  <c r="E56" i="33" s="1"/>
  <c r="E53" i="31"/>
  <c r="E55" i="33" s="1"/>
  <c r="E52" i="31"/>
  <c r="E54" i="33" s="1"/>
  <c r="E51" i="31"/>
  <c r="E53" i="33" s="1"/>
  <c r="E50" i="31"/>
  <c r="E52" i="33" s="1"/>
  <c r="E49" i="31"/>
  <c r="E51" i="33" s="1"/>
  <c r="E48" i="31"/>
  <c r="E50" i="33" s="1"/>
  <c r="E47" i="31"/>
  <c r="E49" i="33" s="1"/>
  <c r="E46" i="31"/>
  <c r="E48" i="33" s="1"/>
  <c r="E45" i="31"/>
  <c r="E47" i="33" s="1"/>
  <c r="E44" i="31"/>
  <c r="E46" i="33" s="1"/>
  <c r="E43" i="31"/>
  <c r="E45" i="33" s="1"/>
  <c r="E42" i="31"/>
  <c r="E44" i="33" s="1"/>
  <c r="E41" i="31"/>
  <c r="E43" i="33" s="1"/>
  <c r="E40" i="31"/>
  <c r="E42" i="33" s="1"/>
  <c r="E39" i="31"/>
  <c r="E41" i="33" s="1"/>
  <c r="E38" i="31"/>
  <c r="E40" i="33" s="1"/>
  <c r="E37" i="31"/>
  <c r="E39" i="33" s="1"/>
  <c r="E36" i="31"/>
  <c r="E38" i="33" s="1"/>
  <c r="E35" i="31"/>
  <c r="E37" i="33" s="1"/>
  <c r="E34" i="31"/>
  <c r="E36" i="33" s="1"/>
  <c r="E33" i="31"/>
  <c r="E35" i="33" s="1"/>
  <c r="E32" i="31"/>
  <c r="E34" i="33" s="1"/>
  <c r="E31" i="31"/>
  <c r="E33" i="33" s="1"/>
  <c r="E30" i="31"/>
  <c r="E32" i="33" s="1"/>
  <c r="E29" i="31"/>
  <c r="E31" i="33" s="1"/>
  <c r="E28" i="31"/>
  <c r="E30" i="33" s="1"/>
  <c r="E27" i="31"/>
  <c r="E29" i="33" s="1"/>
  <c r="E26" i="31"/>
  <c r="E28" i="33" s="1"/>
  <c r="E25" i="31"/>
  <c r="E27" i="33" s="1"/>
  <c r="E24" i="31"/>
  <c r="E26" i="33" s="1"/>
  <c r="E23" i="31"/>
  <c r="E25" i="33" s="1"/>
  <c r="E22" i="31"/>
  <c r="E24" i="33" s="1"/>
  <c r="E21" i="31"/>
  <c r="E23" i="33" s="1"/>
  <c r="E20" i="31"/>
  <c r="E22" i="33" s="1"/>
  <c r="E19" i="31"/>
  <c r="E21" i="33" s="1"/>
  <c r="E18" i="31"/>
  <c r="E20" i="33" s="1"/>
  <c r="E17" i="31"/>
  <c r="E19" i="33" s="1"/>
  <c r="E16" i="31"/>
  <c r="E18" i="33" s="1"/>
  <c r="E15" i="31"/>
  <c r="E17" i="33" s="1"/>
  <c r="E14" i="31"/>
  <c r="E16" i="33" s="1"/>
  <c r="E13" i="31"/>
  <c r="E15" i="33" s="1"/>
  <c r="E12" i="31"/>
  <c r="E14" i="33" s="1"/>
  <c r="E11" i="31"/>
  <c r="E13" i="33" s="1"/>
  <c r="E10" i="31"/>
  <c r="E12" i="33" s="1"/>
  <c r="E9" i="31"/>
  <c r="E11" i="33" s="1"/>
  <c r="E8" i="31"/>
  <c r="E10" i="33" s="1"/>
  <c r="E7" i="31"/>
  <c r="E9" i="33" s="1"/>
  <c r="E6" i="31"/>
  <c r="E8" i="33" s="1"/>
  <c r="E5" i="31"/>
  <c r="E7" i="33" s="1"/>
  <c r="E4" i="31"/>
  <c r="E6" i="33" s="1"/>
  <c r="E3" i="31"/>
  <c r="E5" i="33" s="1"/>
  <c r="E2" i="31"/>
  <c r="E4" i="33" s="1"/>
  <c r="F16" i="21" l="1"/>
  <c r="F17" i="21"/>
  <c r="F19" i="24"/>
  <c r="F12" i="24"/>
  <c r="F14" i="24"/>
  <c r="I151" i="3" s="1"/>
  <c r="F150" i="31" s="1"/>
  <c r="F13" i="24"/>
  <c r="F20" i="24" l="1"/>
  <c r="I152" i="3" s="1"/>
  <c r="F151" i="31" s="1"/>
  <c r="I150" i="31"/>
  <c r="K150" i="31" s="1" a="1"/>
  <c r="K150" i="31" s="1"/>
  <c r="H152" i="33"/>
  <c r="F46" i="24"/>
  <c r="F47" i="24" s="1"/>
  <c r="F137" i="14"/>
  <c r="F9" i="11"/>
  <c r="F6" i="17"/>
  <c r="F24" i="21"/>
  <c r="F6" i="21"/>
  <c r="F21" i="15"/>
  <c r="F52" i="22"/>
  <c r="F37" i="22"/>
  <c r="F21" i="22"/>
  <c r="F6" i="22"/>
  <c r="F95" i="23"/>
  <c r="F101" i="23" s="1"/>
  <c r="F102" i="23"/>
  <c r="F85" i="23"/>
  <c r="F136" i="14"/>
  <c r="F73" i="23"/>
  <c r="F78" i="23" s="1"/>
  <c r="F22" i="14"/>
  <c r="F62" i="23"/>
  <c r="F39" i="23"/>
  <c r="F25" i="23"/>
  <c r="F6" i="23"/>
  <c r="F11" i="23" s="1"/>
  <c r="F10" i="23"/>
  <c r="F6" i="24"/>
  <c r="F40" i="11"/>
  <c r="F14" i="13"/>
  <c r="F18" i="13" s="1"/>
  <c r="I151" i="31" l="1"/>
  <c r="K151" i="31" s="1" a="1"/>
  <c r="K151" i="31" s="1"/>
  <c r="H153" i="33"/>
  <c r="F14" i="11"/>
  <c r="F65" i="19"/>
  <c r="F64" i="19"/>
  <c r="F6" i="19"/>
  <c r="F8" i="19" s="1"/>
  <c r="F5" i="21"/>
  <c r="F18" i="21" s="1"/>
  <c r="F93" i="19"/>
  <c r="F66" i="19" l="1"/>
  <c r="F79" i="12"/>
  <c r="F81" i="12"/>
  <c r="F82" i="12" s="1"/>
  <c r="I54" i="3" s="1"/>
  <c r="F53" i="31" s="1"/>
  <c r="F69" i="12"/>
  <c r="F70" i="12"/>
  <c r="F71" i="12" s="1"/>
  <c r="I53" i="3" s="1"/>
  <c r="F52" i="31" s="1"/>
  <c r="F61" i="12"/>
  <c r="F60" i="12"/>
  <c r="F59" i="12"/>
  <c r="F54" i="12"/>
  <c r="F28" i="12"/>
  <c r="F29" i="12" s="1"/>
  <c r="I49" i="3" s="1"/>
  <c r="F48" i="31" s="1"/>
  <c r="F27" i="12"/>
  <c r="I69" i="3"/>
  <c r="F68" i="31" s="1"/>
  <c r="F101" i="13"/>
  <c r="F102" i="13" s="1"/>
  <c r="I61" i="3" s="1"/>
  <c r="F60" i="31" s="1"/>
  <c r="F98" i="13"/>
  <c r="F145" i="14"/>
  <c r="F146" i="14" s="1"/>
  <c r="I73" i="3" s="1"/>
  <c r="F72" i="31" s="1"/>
  <c r="F144" i="14"/>
  <c r="F109" i="14"/>
  <c r="F110" i="14"/>
  <c r="F111" i="14" s="1"/>
  <c r="F100" i="14"/>
  <c r="F101" i="14"/>
  <c r="F102" i="14" s="1"/>
  <c r="I68" i="3" s="1"/>
  <c r="F67" i="31" s="1"/>
  <c r="F91" i="14"/>
  <c r="F92" i="14"/>
  <c r="F93" i="14" s="1"/>
  <c r="I67" i="3" s="1"/>
  <c r="F66" i="31" s="1"/>
  <c r="F104" i="18"/>
  <c r="F105" i="18" s="1"/>
  <c r="F106" i="18" s="1"/>
  <c r="I100" i="3" s="1"/>
  <c r="F99" i="31" s="1"/>
  <c r="F103" i="18"/>
  <c r="F101" i="18"/>
  <c r="F92" i="18"/>
  <c r="F91" i="18"/>
  <c r="F89" i="18"/>
  <c r="F93" i="18" s="1"/>
  <c r="F88" i="18"/>
  <c r="F86" i="18"/>
  <c r="F84" i="18"/>
  <c r="F82" i="18"/>
  <c r="F80" i="11"/>
  <c r="F81" i="11" s="1"/>
  <c r="I46" i="3" s="1"/>
  <c r="F45" i="31" s="1"/>
  <c r="F78" i="11"/>
  <c r="F73" i="18"/>
  <c r="F72" i="18"/>
  <c r="F65" i="18"/>
  <c r="F67" i="18"/>
  <c r="F69" i="18"/>
  <c r="F71" i="18"/>
  <c r="F54" i="18"/>
  <c r="F57" i="18"/>
  <c r="F52" i="18"/>
  <c r="F56" i="18" s="1"/>
  <c r="F71" i="11"/>
  <c r="F69" i="11"/>
  <c r="F66" i="11"/>
  <c r="F44" i="18"/>
  <c r="F43" i="18"/>
  <c r="F45" i="18" s="1"/>
  <c r="F31" i="18"/>
  <c r="F35" i="18" s="1"/>
  <c r="F28" i="18"/>
  <c r="F36" i="18" s="1"/>
  <c r="F16" i="18"/>
  <c r="F22" i="18"/>
  <c r="F20" i="18"/>
  <c r="F19" i="18"/>
  <c r="F8" i="18"/>
  <c r="F9" i="18" s="1"/>
  <c r="F10" i="18" s="1"/>
  <c r="I93" i="3" s="1"/>
  <c r="F92" i="31" s="1"/>
  <c r="F7" i="18"/>
  <c r="F58" i="19"/>
  <c r="F59" i="19" s="1"/>
  <c r="I106" i="3" s="1"/>
  <c r="F105" i="31" s="1"/>
  <c r="F57" i="19"/>
  <c r="F109" i="19"/>
  <c r="F110" i="19" s="1"/>
  <c r="I111" i="3" s="1"/>
  <c r="F110" i="31" s="1"/>
  <c r="F102" i="19"/>
  <c r="F103" i="19" s="1"/>
  <c r="I110" i="3" s="1"/>
  <c r="F109" i="31" s="1"/>
  <c r="F101" i="19"/>
  <c r="F90" i="19"/>
  <c r="F87" i="19"/>
  <c r="F84" i="19"/>
  <c r="F91" i="19"/>
  <c r="F94" i="19" s="1"/>
  <c r="I109" i="3" s="1"/>
  <c r="F108" i="31" s="1"/>
  <c r="F92" i="19"/>
  <c r="F75" i="19"/>
  <c r="F76" i="19"/>
  <c r="F77" i="19" s="1"/>
  <c r="I108" i="3" s="1"/>
  <c r="F107" i="31" s="1"/>
  <c r="F49" i="19"/>
  <c r="F46" i="19"/>
  <c r="F44" i="19"/>
  <c r="F48" i="19"/>
  <c r="F36" i="19"/>
  <c r="F37" i="19" s="1"/>
  <c r="I104" i="3" s="1"/>
  <c r="F103" i="31" s="1"/>
  <c r="F35" i="19"/>
  <c r="F27" i="19"/>
  <c r="F28" i="19" s="1"/>
  <c r="I103" i="3" s="1"/>
  <c r="F102" i="31" s="1"/>
  <c r="F26" i="19"/>
  <c r="F18" i="19"/>
  <c r="F19" i="19" s="1"/>
  <c r="I102" i="3" s="1"/>
  <c r="F101" i="31" s="1"/>
  <c r="F17" i="19"/>
  <c r="F83" i="21"/>
  <c r="F84" i="21"/>
  <c r="F85" i="21" s="1"/>
  <c r="F74" i="21"/>
  <c r="F75" i="21" s="1"/>
  <c r="F73" i="21"/>
  <c r="F63" i="21"/>
  <c r="F64" i="21"/>
  <c r="F65" i="21" s="1"/>
  <c r="F142" i="10"/>
  <c r="F143" i="10" s="1"/>
  <c r="I40" i="3" s="1"/>
  <c r="F39" i="31" s="1"/>
  <c r="F141" i="10"/>
  <c r="F139" i="10"/>
  <c r="F130" i="10"/>
  <c r="F131" i="10" s="1"/>
  <c r="I39" i="3" s="1"/>
  <c r="F38" i="31" s="1"/>
  <c r="F129" i="10"/>
  <c r="F121" i="10"/>
  <c r="F122" i="10" s="1"/>
  <c r="I38" i="3" s="1"/>
  <c r="F37" i="31" s="1"/>
  <c r="F110" i="10"/>
  <c r="F111" i="10" s="1"/>
  <c r="I37" i="3" s="1"/>
  <c r="F36" i="31" s="1"/>
  <c r="F109" i="10"/>
  <c r="F53" i="21"/>
  <c r="F51" i="21"/>
  <c r="F54" i="21"/>
  <c r="F55" i="21" s="1"/>
  <c r="F23" i="21"/>
  <c r="F41" i="21"/>
  <c r="F42" i="21"/>
  <c r="F99" i="10"/>
  <c r="F101" i="10" s="1"/>
  <c r="I36" i="3" s="1"/>
  <c r="F35" i="31" s="1"/>
  <c r="F96" i="10"/>
  <c r="F98" i="10" s="1"/>
  <c r="F100" i="10" s="1"/>
  <c r="F30" i="21"/>
  <c r="F31" i="21"/>
  <c r="F75" i="10"/>
  <c r="F76" i="10" s="1"/>
  <c r="I34" i="3" s="1"/>
  <c r="F33" i="31" s="1"/>
  <c r="F74" i="10"/>
  <c r="F47" i="10"/>
  <c r="F48" i="10" s="1"/>
  <c r="I32" i="3" s="1"/>
  <c r="F31" i="31" s="1"/>
  <c r="F46" i="10"/>
  <c r="F44" i="10"/>
  <c r="F161" i="22"/>
  <c r="F23" i="10"/>
  <c r="F21" i="10"/>
  <c r="F22" i="10"/>
  <c r="F17" i="10"/>
  <c r="F162" i="22"/>
  <c r="F163" i="22" s="1"/>
  <c r="I141" i="3" s="1"/>
  <c r="F140" i="31" s="1"/>
  <c r="F150" i="22"/>
  <c r="F147" i="22"/>
  <c r="F151" i="22"/>
  <c r="F152" i="22"/>
  <c r="F136" i="22"/>
  <c r="F134" i="22"/>
  <c r="F138" i="22"/>
  <c r="F137" i="22"/>
  <c r="F125" i="22"/>
  <c r="F123" i="22"/>
  <c r="F126" i="22" s="1"/>
  <c r="F114" i="22"/>
  <c r="F116" i="22"/>
  <c r="I137" i="3" s="1"/>
  <c r="F136" i="31" s="1"/>
  <c r="F115" i="22"/>
  <c r="F104" i="22"/>
  <c r="F102" i="22"/>
  <c r="F105" i="22"/>
  <c r="F106" i="22" s="1"/>
  <c r="I136" i="3" s="1"/>
  <c r="F135" i="31" s="1"/>
  <c r="F93" i="22"/>
  <c r="F94" i="22"/>
  <c r="F95" i="22" s="1"/>
  <c r="I135" i="3" s="1"/>
  <c r="F134" i="31" s="1"/>
  <c r="F84" i="22"/>
  <c r="F85" i="22"/>
  <c r="F86" i="22" s="1"/>
  <c r="I134" i="3" s="1"/>
  <c r="F133" i="31" s="1"/>
  <c r="F73" i="22"/>
  <c r="F75" i="22"/>
  <c r="F76" i="22"/>
  <c r="F67" i="22"/>
  <c r="F68" i="22" s="1"/>
  <c r="I132" i="3" s="1"/>
  <c r="F131" i="31" s="1"/>
  <c r="F169" i="9"/>
  <c r="F165" i="9"/>
  <c r="F170" i="9" s="1"/>
  <c r="F171" i="9" s="1"/>
  <c r="I28" i="3" s="1"/>
  <c r="F27" i="31" s="1"/>
  <c r="F159" i="9"/>
  <c r="F160" i="9" s="1"/>
  <c r="I27" i="3" s="1"/>
  <c r="F26" i="31" s="1"/>
  <c r="F158" i="9"/>
  <c r="F156" i="9"/>
  <c r="F148" i="9"/>
  <c r="F149" i="9" s="1"/>
  <c r="I26" i="3" s="1"/>
  <c r="F25" i="31" s="1"/>
  <c r="F147" i="9"/>
  <c r="F139" i="9"/>
  <c r="F140" i="9" s="1"/>
  <c r="I25" i="3" s="1"/>
  <c r="F24" i="31" s="1"/>
  <c r="F138" i="9"/>
  <c r="F126" i="9"/>
  <c r="F128" i="9" s="1"/>
  <c r="F120" i="9"/>
  <c r="F121" i="9" s="1"/>
  <c r="I23" i="3" s="1"/>
  <c r="F22" i="31" s="1"/>
  <c r="F119" i="9"/>
  <c r="F117" i="9"/>
  <c r="F110" i="9"/>
  <c r="I22" i="3" s="1"/>
  <c r="F21" i="31" s="1"/>
  <c r="F109" i="9"/>
  <c r="F107" i="9"/>
  <c r="I33" i="3"/>
  <c r="F28" i="7"/>
  <c r="F33" i="7"/>
  <c r="F13" i="15"/>
  <c r="F12" i="15"/>
  <c r="F128" i="14"/>
  <c r="F129" i="14" s="1"/>
  <c r="I71" i="3" s="1"/>
  <c r="F70" i="31" s="1"/>
  <c r="F15" i="1"/>
  <c r="F14" i="1"/>
  <c r="I150" i="3"/>
  <c r="F149" i="31" s="1"/>
  <c r="F19" i="23"/>
  <c r="I155" i="3"/>
  <c r="F154" i="31" s="1"/>
  <c r="F79" i="23"/>
  <c r="F53" i="23"/>
  <c r="F43" i="23"/>
  <c r="F38" i="23"/>
  <c r="F6" i="20"/>
  <c r="F5" i="20"/>
  <c r="F14" i="20" s="1"/>
  <c r="F11" i="17"/>
  <c r="F55" i="22"/>
  <c r="F57" i="22"/>
  <c r="F56" i="22"/>
  <c r="F50" i="22"/>
  <c r="F58" i="22" s="1"/>
  <c r="F45" i="22"/>
  <c r="I130" i="3" s="1"/>
  <c r="F129" i="31" s="1"/>
  <c r="F42" i="22"/>
  <c r="F44" i="22"/>
  <c r="F43" i="22"/>
  <c r="F5" i="23"/>
  <c r="F12" i="23" s="1"/>
  <c r="F30" i="22"/>
  <c r="F29" i="22"/>
  <c r="F20" i="22"/>
  <c r="F14" i="22"/>
  <c r="F13" i="22"/>
  <c r="F5" i="22"/>
  <c r="F88" i="23"/>
  <c r="F89" i="23" s="1"/>
  <c r="I149" i="3" s="1"/>
  <c r="F148" i="31" s="1"/>
  <c r="F66" i="23"/>
  <c r="F55" i="23"/>
  <c r="F44" i="23"/>
  <c r="F5" i="24"/>
  <c r="F127" i="14"/>
  <c r="F84" i="14"/>
  <c r="I66" i="3" s="1"/>
  <c r="F65" i="31" s="1"/>
  <c r="F39" i="14"/>
  <c r="F82" i="14"/>
  <c r="F83" i="14"/>
  <c r="F48" i="14"/>
  <c r="F49" i="14" s="1"/>
  <c r="I65" i="3" s="1"/>
  <c r="F64" i="31" s="1"/>
  <c r="F47" i="14"/>
  <c r="F39" i="24"/>
  <c r="F40" i="24"/>
  <c r="F41" i="24" s="1"/>
  <c r="I154" i="3" s="1"/>
  <c r="F153" i="31" s="1"/>
  <c r="F30" i="24"/>
  <c r="F31" i="24" s="1"/>
  <c r="I153" i="3" s="1"/>
  <c r="F152" i="31" s="1"/>
  <c r="F32" i="23"/>
  <c r="F62" i="12" l="1"/>
  <c r="I52" i="3" s="1"/>
  <c r="F51" i="31" s="1"/>
  <c r="F72" i="11"/>
  <c r="I45" i="3" s="1"/>
  <c r="F44" i="31" s="1"/>
  <c r="I52" i="31"/>
  <c r="K52" i="31" s="1" a="1"/>
  <c r="K52" i="31" s="1"/>
  <c r="I152" i="31"/>
  <c r="K152" i="31" s="1" a="1"/>
  <c r="K152" i="31" s="1"/>
  <c r="I153" i="31"/>
  <c r="K153" i="31" s="1" a="1"/>
  <c r="K153" i="31" s="1"/>
  <c r="I129" i="31"/>
  <c r="K129" i="31" s="1" a="1"/>
  <c r="K129" i="31" s="1"/>
  <c r="I38" i="31"/>
  <c r="K38" i="31" s="1" a="1"/>
  <c r="K38" i="31" s="1"/>
  <c r="I70" i="31"/>
  <c r="K70" i="31" s="1" a="1"/>
  <c r="K70" i="31" s="1"/>
  <c r="I21" i="31"/>
  <c r="K21" i="31" s="1" a="1"/>
  <c r="K21" i="31" s="1"/>
  <c r="I25" i="31"/>
  <c r="K25" i="31" s="1" a="1"/>
  <c r="K25" i="31" s="1"/>
  <c r="I33" i="31"/>
  <c r="K33" i="31" s="1" a="1"/>
  <c r="K33" i="31" s="1"/>
  <c r="I92" i="31"/>
  <c r="K92" i="31" s="1" a="1"/>
  <c r="K92" i="31" s="1"/>
  <c r="I99" i="31"/>
  <c r="K99" i="31" s="1" a="1"/>
  <c r="K99" i="31" s="1"/>
  <c r="I72" i="31"/>
  <c r="K72" i="31" s="1" a="1"/>
  <c r="K72" i="31" s="1"/>
  <c r="I66" i="31"/>
  <c r="K66" i="31" s="1" a="1"/>
  <c r="K66" i="31" s="1"/>
  <c r="I64" i="31"/>
  <c r="K64" i="31" s="1" a="1"/>
  <c r="K64" i="31" s="1"/>
  <c r="I133" i="31"/>
  <c r="K133" i="31" s="1" a="1"/>
  <c r="K133" i="31" s="1"/>
  <c r="I136" i="31"/>
  <c r="K136" i="31" s="1" a="1"/>
  <c r="K136" i="31" s="1"/>
  <c r="I39" i="31"/>
  <c r="K39" i="31" s="1" a="1"/>
  <c r="K39" i="31" s="1"/>
  <c r="I101" i="31"/>
  <c r="K101" i="31" s="1" a="1"/>
  <c r="K101" i="31" s="1"/>
  <c r="I60" i="31"/>
  <c r="K60" i="31" s="1" a="1"/>
  <c r="K60" i="31" s="1"/>
  <c r="I154" i="31"/>
  <c r="K154" i="31" s="1" a="1"/>
  <c r="K154" i="31" s="1"/>
  <c r="I22" i="31"/>
  <c r="K22" i="31" s="1" a="1"/>
  <c r="K22" i="31" s="1"/>
  <c r="I26" i="31"/>
  <c r="K26" i="31" s="1" a="1"/>
  <c r="K26" i="31" s="1"/>
  <c r="I107" i="31"/>
  <c r="K107" i="31" s="1" a="1"/>
  <c r="K107" i="31" s="1"/>
  <c r="I109" i="31"/>
  <c r="K109" i="31" s="1" a="1"/>
  <c r="K109" i="31" s="1"/>
  <c r="I67" i="31"/>
  <c r="K67" i="31" s="1" a="1"/>
  <c r="K67" i="31" s="1"/>
  <c r="I68" i="31"/>
  <c r="K68" i="31" s="1" a="1"/>
  <c r="K68" i="31" s="1"/>
  <c r="I134" i="31"/>
  <c r="K134" i="31" s="1" a="1"/>
  <c r="K134" i="31" s="1"/>
  <c r="I35" i="31"/>
  <c r="K35" i="31" s="1" a="1"/>
  <c r="K35" i="31" s="1"/>
  <c r="I36" i="31"/>
  <c r="K36" i="31" s="1" a="1"/>
  <c r="K36" i="31" s="1"/>
  <c r="I102" i="31"/>
  <c r="K102" i="31" s="1" a="1"/>
  <c r="K102" i="31" s="1"/>
  <c r="I110" i="31"/>
  <c r="K110" i="31" s="1" a="1"/>
  <c r="K110" i="31" s="1"/>
  <c r="I53" i="31"/>
  <c r="K53" i="31" s="1" a="1"/>
  <c r="K53" i="31" s="1"/>
  <c r="I149" i="31"/>
  <c r="K149" i="31" s="1" a="1"/>
  <c r="K149" i="31" s="1"/>
  <c r="I37" i="31"/>
  <c r="K37" i="31" s="1" a="1"/>
  <c r="K37" i="31" s="1"/>
  <c r="I48" i="31"/>
  <c r="K48" i="31" s="1" a="1"/>
  <c r="K48" i="31" s="1"/>
  <c r="I148" i="31"/>
  <c r="K148" i="31" s="1" a="1"/>
  <c r="K148" i="31" s="1"/>
  <c r="I27" i="31"/>
  <c r="K27" i="31" s="1" a="1"/>
  <c r="K27" i="31" s="1"/>
  <c r="I65" i="31"/>
  <c r="K65" i="31" s="1" a="1"/>
  <c r="K65" i="31" s="1"/>
  <c r="I24" i="31"/>
  <c r="K24" i="31" s="1" a="1"/>
  <c r="K24" i="31" s="1"/>
  <c r="I131" i="31"/>
  <c r="K131" i="31" s="1" a="1"/>
  <c r="K131" i="31" s="1"/>
  <c r="I135" i="31"/>
  <c r="K135" i="31" s="1" a="1"/>
  <c r="K135" i="31" s="1"/>
  <c r="I140" i="31"/>
  <c r="K140" i="31" s="1" a="1"/>
  <c r="K140" i="31" s="1"/>
  <c r="I31" i="31"/>
  <c r="K31" i="31" s="1" a="1"/>
  <c r="K31" i="31" s="1"/>
  <c r="I103" i="31"/>
  <c r="K103" i="31" s="1" a="1"/>
  <c r="K103" i="31" s="1"/>
  <c r="I108" i="31"/>
  <c r="K108" i="31" s="1" a="1"/>
  <c r="K108" i="31" s="1"/>
  <c r="I105" i="31"/>
  <c r="K105" i="31" s="1" a="1"/>
  <c r="K105" i="31" s="1"/>
  <c r="I45" i="31"/>
  <c r="K45" i="31" s="1" a="1"/>
  <c r="K45" i="31" s="1"/>
  <c r="H105" i="33"/>
  <c r="H62" i="33"/>
  <c r="H111" i="33"/>
  <c r="H70" i="33"/>
  <c r="H27" i="33"/>
  <c r="H136" i="33"/>
  <c r="H112" i="33"/>
  <c r="H101" i="33"/>
  <c r="H135" i="33"/>
  <c r="H137" i="33"/>
  <c r="H33" i="33"/>
  <c r="H107" i="33"/>
  <c r="H47" i="33"/>
  <c r="H68" i="33"/>
  <c r="H131" i="33"/>
  <c r="H94" i="33"/>
  <c r="H26" i="33"/>
  <c r="H155" i="33"/>
  <c r="H28" i="33"/>
  <c r="H150" i="33"/>
  <c r="H23" i="33"/>
  <c r="H29" i="33"/>
  <c r="H35" i="33"/>
  <c r="H38" i="33"/>
  <c r="H151" i="33"/>
  <c r="H39" i="33"/>
  <c r="H69" i="33"/>
  <c r="H50" i="33"/>
  <c r="H156" i="33"/>
  <c r="H133" i="33"/>
  <c r="H142" i="33"/>
  <c r="H103" i="33"/>
  <c r="H54" i="33"/>
  <c r="H24" i="33"/>
  <c r="H37" i="33"/>
  <c r="H104" i="33"/>
  <c r="H55" i="33"/>
  <c r="H67" i="33"/>
  <c r="H154" i="33"/>
  <c r="H109" i="33"/>
  <c r="H66" i="33"/>
  <c r="H138" i="33"/>
  <c r="H110" i="33"/>
  <c r="H40" i="33"/>
  <c r="H72" i="33"/>
  <c r="H74" i="33"/>
  <c r="H41" i="33"/>
  <c r="F167" i="9"/>
  <c r="F24" i="10"/>
  <c r="I30" i="3" s="1"/>
  <c r="F29" i="31" s="1"/>
  <c r="F65" i="23"/>
  <c r="F67" i="23" s="1"/>
  <c r="I147" i="3" s="1"/>
  <c r="F146" i="31" s="1"/>
  <c r="F100" i="23"/>
  <c r="F94" i="18"/>
  <c r="I99" i="3" s="1"/>
  <c r="F98" i="31" s="1"/>
  <c r="F74" i="18"/>
  <c r="I98" i="3" s="1"/>
  <c r="F97" i="31" s="1"/>
  <c r="F58" i="18"/>
  <c r="I97" i="3" s="1"/>
  <c r="F96" i="31" s="1"/>
  <c r="F37" i="18"/>
  <c r="F38" i="18" s="1"/>
  <c r="I95" i="3" s="1"/>
  <c r="F94" i="31" s="1"/>
  <c r="I96" i="3"/>
  <c r="F95" i="31" s="1"/>
  <c r="F33" i="18"/>
  <c r="F30" i="18"/>
  <c r="F50" i="19"/>
  <c r="I105" i="3" s="1"/>
  <c r="F104" i="31" s="1"/>
  <c r="F32" i="21"/>
  <c r="I122" i="3" s="1"/>
  <c r="F121" i="31" s="1"/>
  <c r="F139" i="22"/>
  <c r="I139" i="3" s="1"/>
  <c r="F138" i="31" s="1"/>
  <c r="F153" i="22"/>
  <c r="I140" i="3" s="1"/>
  <c r="F139" i="31" s="1"/>
  <c r="F127" i="22"/>
  <c r="I138" i="3" s="1"/>
  <c r="F137" i="31" s="1"/>
  <c r="F77" i="22"/>
  <c r="I133" i="3" s="1"/>
  <c r="F132" i="31" s="1"/>
  <c r="F129" i="9"/>
  <c r="F130" i="9" s="1"/>
  <c r="I24" i="3" s="1"/>
  <c r="F23" i="31" s="1"/>
  <c r="F15" i="22"/>
  <c r="I128" i="3" s="1"/>
  <c r="F127" i="31" s="1"/>
  <c r="F31" i="22"/>
  <c r="I129" i="3" s="1"/>
  <c r="F128" i="31" s="1"/>
  <c r="F54" i="23"/>
  <c r="F56" i="23" s="1"/>
  <c r="I146" i="3" s="1"/>
  <c r="F145" i="31" s="1"/>
  <c r="F18" i="23"/>
  <c r="F30" i="23"/>
  <c r="F33" i="23" s="1"/>
  <c r="I144" i="3" s="1"/>
  <c r="F143" i="31" s="1"/>
  <c r="F45" i="23"/>
  <c r="I145" i="3" s="1"/>
  <c r="F144" i="31" s="1"/>
  <c r="I148" i="3"/>
  <c r="F147" i="31" s="1"/>
  <c r="I131" i="3"/>
  <c r="F130" i="31" s="1"/>
  <c r="F81" i="14"/>
  <c r="I143" i="3"/>
  <c r="F142" i="31" s="1"/>
  <c r="I142" i="3"/>
  <c r="F141" i="31" s="1"/>
  <c r="I127" i="3"/>
  <c r="F126" i="31" s="1"/>
  <c r="I126" i="3"/>
  <c r="F125" i="31" s="1"/>
  <c r="I125" i="3"/>
  <c r="F124" i="31" s="1"/>
  <c r="I124" i="3"/>
  <c r="F123" i="31" s="1"/>
  <c r="F15" i="21"/>
  <c r="F38" i="21" s="1"/>
  <c r="I44" i="31" l="1"/>
  <c r="K44" i="31" s="1" a="1"/>
  <c r="K44" i="31" s="1"/>
  <c r="H46" i="33"/>
  <c r="I51" i="31"/>
  <c r="K51" i="31" s="1" a="1"/>
  <c r="K51" i="31" s="1"/>
  <c r="H53" i="33"/>
  <c r="I98" i="31"/>
  <c r="K98" i="31" s="1" a="1"/>
  <c r="K98" i="31" s="1"/>
  <c r="I142" i="31"/>
  <c r="K142" i="31" s="1" a="1"/>
  <c r="K142" i="31" s="1"/>
  <c r="I128" i="31"/>
  <c r="K128" i="31" s="1" a="1"/>
  <c r="K128" i="31" s="1"/>
  <c r="I104" i="31"/>
  <c r="K104" i="31" s="1" a="1"/>
  <c r="K104" i="31" s="1"/>
  <c r="I127" i="31"/>
  <c r="K127" i="31" s="1" a="1"/>
  <c r="K127" i="31" s="1"/>
  <c r="I146" i="31"/>
  <c r="K146" i="31" s="1" a="1"/>
  <c r="K146" i="31" s="1"/>
  <c r="I145" i="31"/>
  <c r="K145" i="31" s="1" a="1"/>
  <c r="K145" i="31" s="1"/>
  <c r="I23" i="31"/>
  <c r="K23" i="31" s="1" a="1"/>
  <c r="K23" i="31" s="1"/>
  <c r="I147" i="31"/>
  <c r="K147" i="31" s="1" a="1"/>
  <c r="K147" i="31" s="1"/>
  <c r="I141" i="31"/>
  <c r="K141" i="31" s="1" a="1"/>
  <c r="K141" i="31" s="1"/>
  <c r="I29" i="31"/>
  <c r="K29" i="31" s="1" a="1"/>
  <c r="K29" i="31" s="1"/>
  <c r="I123" i="31"/>
  <c r="K123" i="31" s="1" a="1"/>
  <c r="K123" i="31" s="1"/>
  <c r="I95" i="31"/>
  <c r="K95" i="31" s="1" a="1"/>
  <c r="K95" i="31" s="1"/>
  <c r="I124" i="31"/>
  <c r="K124" i="31" s="1" a="1"/>
  <c r="K124" i="31" s="1"/>
  <c r="I137" i="31"/>
  <c r="K137" i="31" s="1" a="1"/>
  <c r="K137" i="31" s="1"/>
  <c r="I121" i="31"/>
  <c r="K121" i="31" s="1" a="1"/>
  <c r="K121" i="31" s="1"/>
  <c r="I130" i="31"/>
  <c r="K130" i="31" s="1" a="1"/>
  <c r="K130" i="31" s="1"/>
  <c r="I132" i="31"/>
  <c r="K132" i="31" s="1" a="1"/>
  <c r="K132" i="31" s="1"/>
  <c r="I144" i="31"/>
  <c r="K144" i="31" s="1" a="1"/>
  <c r="K144" i="31" s="1"/>
  <c r="I94" i="31"/>
  <c r="K94" i="31" s="1" a="1"/>
  <c r="K94" i="31" s="1"/>
  <c r="I125" i="31"/>
  <c r="K125" i="31" s="1" a="1"/>
  <c r="K125" i="31" s="1"/>
  <c r="I143" i="31"/>
  <c r="K143" i="31" s="1" a="1"/>
  <c r="K143" i="31" s="1"/>
  <c r="I139" i="31"/>
  <c r="K139" i="31" s="1" a="1"/>
  <c r="K139" i="31" s="1"/>
  <c r="I96" i="31"/>
  <c r="K96" i="31" s="1" a="1"/>
  <c r="K96" i="31" s="1"/>
  <c r="I126" i="31"/>
  <c r="K126" i="31" s="1" a="1"/>
  <c r="K126" i="31" s="1"/>
  <c r="I138" i="31"/>
  <c r="K138" i="31" s="1" a="1"/>
  <c r="K138" i="31" s="1"/>
  <c r="I97" i="31"/>
  <c r="K97" i="31" s="1" a="1"/>
  <c r="K97" i="31" s="1"/>
  <c r="H126" i="33"/>
  <c r="H129" i="33"/>
  <c r="H98" i="33"/>
  <c r="H128" i="33"/>
  <c r="H25" i="33"/>
  <c r="H99" i="33"/>
  <c r="H97" i="33"/>
  <c r="H130" i="33"/>
  <c r="H127" i="33"/>
  <c r="H100" i="33"/>
  <c r="H144" i="33"/>
  <c r="H139" i="33"/>
  <c r="H143" i="33"/>
  <c r="H148" i="33"/>
  <c r="H147" i="33"/>
  <c r="H134" i="33"/>
  <c r="H141" i="33"/>
  <c r="H132" i="33"/>
  <c r="H140" i="33"/>
  <c r="H31" i="33"/>
  <c r="H149" i="33"/>
  <c r="H125" i="33"/>
  <c r="H96" i="33"/>
  <c r="H123" i="33"/>
  <c r="H146" i="33"/>
  <c r="H106" i="33"/>
  <c r="H145" i="33"/>
  <c r="I123" i="3"/>
  <c r="F122" i="31" s="1"/>
  <c r="I121" i="3"/>
  <c r="F120" i="31" s="1"/>
  <c r="F23" i="14"/>
  <c r="F10" i="14"/>
  <c r="F91" i="13"/>
  <c r="F77" i="13"/>
  <c r="F76" i="13"/>
  <c r="F75" i="13"/>
  <c r="F74" i="13"/>
  <c r="F55" i="13"/>
  <c r="F54" i="13"/>
  <c r="F35" i="13"/>
  <c r="F37" i="13"/>
  <c r="F36" i="13"/>
  <c r="F48" i="12"/>
  <c r="F38" i="12"/>
  <c r="F19" i="12"/>
  <c r="F9" i="12"/>
  <c r="F56" i="11"/>
  <c r="F55" i="11"/>
  <c r="F30" i="11"/>
  <c r="F15" i="11"/>
  <c r="F87" i="10"/>
  <c r="F88" i="10" s="1"/>
  <c r="I35" i="3" s="1"/>
  <c r="F35" i="10"/>
  <c r="F36" i="10" s="1"/>
  <c r="I31" i="3" s="1"/>
  <c r="F11" i="10"/>
  <c r="F33" i="20"/>
  <c r="F37" i="20" s="1"/>
  <c r="F20" i="20"/>
  <c r="F24" i="20" s="1"/>
  <c r="F83" i="9"/>
  <c r="F84" i="9" s="1"/>
  <c r="F82" i="9"/>
  <c r="F56" i="9"/>
  <c r="F55" i="9"/>
  <c r="F42" i="9"/>
  <c r="F41" i="9"/>
  <c r="F26" i="9"/>
  <c r="F11" i="9"/>
  <c r="F11" i="20"/>
  <c r="F9" i="20"/>
  <c r="F13" i="20"/>
  <c r="F12" i="20"/>
  <c r="I112" i="3" s="1"/>
  <c r="F111" i="31" s="1"/>
  <c r="F89" i="7"/>
  <c r="F90" i="7" s="1"/>
  <c r="F87" i="7"/>
  <c r="F76" i="7"/>
  <c r="F78" i="7"/>
  <c r="F79" i="7" s="1"/>
  <c r="F67" i="19"/>
  <c r="F68" i="19" s="1"/>
  <c r="I107" i="3" s="1"/>
  <c r="F106" i="31" s="1"/>
  <c r="F67" i="7"/>
  <c r="F66" i="7"/>
  <c r="F54" i="7"/>
  <c r="F55" i="7" s="1"/>
  <c r="F44" i="7"/>
  <c r="F43" i="7"/>
  <c r="F9" i="19"/>
  <c r="F10" i="19" s="1"/>
  <c r="I101" i="3" s="1"/>
  <c r="F100" i="31" s="1"/>
  <c r="F21" i="17"/>
  <c r="F19" i="17"/>
  <c r="F65" i="1"/>
  <c r="F66" i="1" s="1"/>
  <c r="F53" i="17"/>
  <c r="F54" i="17" s="1"/>
  <c r="I92" i="3" s="1"/>
  <c r="F91" i="31" s="1"/>
  <c r="F40" i="17"/>
  <c r="F42" i="17" s="1"/>
  <c r="F31" i="17"/>
  <c r="F34" i="17" s="1"/>
  <c r="F35" i="17" s="1"/>
  <c r="I90" i="3" s="1"/>
  <c r="F89" i="31" s="1"/>
  <c r="F25" i="17"/>
  <c r="F24" i="17"/>
  <c r="F10" i="17"/>
  <c r="F69" i="16"/>
  <c r="F67" i="16"/>
  <c r="F58" i="16"/>
  <c r="F8" i="16"/>
  <c r="F10" i="16"/>
  <c r="F5" i="17"/>
  <c r="F70" i="16"/>
  <c r="F71" i="16" s="1"/>
  <c r="I87" i="3" s="1"/>
  <c r="F86" i="31" s="1"/>
  <c r="F59" i="16"/>
  <c r="F60" i="16" s="1"/>
  <c r="I86" i="3" s="1"/>
  <c r="F85" i="31" s="1"/>
  <c r="F47" i="16"/>
  <c r="F50" i="16" s="1"/>
  <c r="F51" i="16" s="1"/>
  <c r="I85" i="3" s="1"/>
  <c r="F84" i="31" s="1"/>
  <c r="F38" i="16"/>
  <c r="F41" i="16" s="1"/>
  <c r="F42" i="16" s="1"/>
  <c r="I84" i="3" s="1"/>
  <c r="F83" i="31" s="1"/>
  <c r="F33" i="16"/>
  <c r="I83" i="3" s="1"/>
  <c r="F82" i="31" s="1"/>
  <c r="F20" i="16"/>
  <c r="F21" i="16" s="1"/>
  <c r="I82" i="3" s="1"/>
  <c r="F81" i="31" s="1"/>
  <c r="F11" i="16"/>
  <c r="F12" i="16" s="1"/>
  <c r="I81" i="3" s="1"/>
  <c r="F80" i="31" s="1"/>
  <c r="F73" i="15"/>
  <c r="F74" i="15" s="1"/>
  <c r="I80" i="3" s="1"/>
  <c r="F79" i="31" s="1"/>
  <c r="F64" i="15"/>
  <c r="F65" i="15" s="1"/>
  <c r="I79" i="3" s="1"/>
  <c r="F78" i="31" s="1"/>
  <c r="F55" i="15"/>
  <c r="F56" i="15" s="1"/>
  <c r="I78" i="3" s="1"/>
  <c r="F77" i="31" s="1"/>
  <c r="F43" i="15"/>
  <c r="F42" i="15"/>
  <c r="F11" i="15"/>
  <c r="F22" i="15"/>
  <c r="F23" i="15" s="1"/>
  <c r="I75" i="3" s="1"/>
  <c r="F74" i="31" s="1"/>
  <c r="F31" i="15"/>
  <c r="F32" i="15" s="1"/>
  <c r="I76" i="3" s="1"/>
  <c r="F75" i="31" s="1"/>
  <c r="U20" i="3"/>
  <c r="U19" i="3"/>
  <c r="U18" i="3"/>
  <c r="U17" i="3"/>
  <c r="U16" i="3"/>
  <c r="U15" i="3"/>
  <c r="U14" i="3"/>
  <c r="N14" i="3" s="1"/>
  <c r="U13" i="3"/>
  <c r="U12" i="3"/>
  <c r="U11" i="3"/>
  <c r="U10" i="3"/>
  <c r="U8" i="3"/>
  <c r="U7" i="3"/>
  <c r="U6" i="3"/>
  <c r="U5" i="3"/>
  <c r="U4" i="3"/>
  <c r="U3" i="3"/>
  <c r="U9" i="3"/>
  <c r="I83" i="31" l="1"/>
  <c r="K83" i="31" s="1" a="1"/>
  <c r="K83" i="31" s="1"/>
  <c r="I85" i="31"/>
  <c r="K85" i="31" s="1" a="1"/>
  <c r="K85" i="31" s="1"/>
  <c r="I78" i="31"/>
  <c r="K78" i="31" s="1" a="1"/>
  <c r="K78" i="31" s="1"/>
  <c r="I86" i="31"/>
  <c r="K86" i="31" s="1" a="1"/>
  <c r="K86" i="31" s="1"/>
  <c r="I106" i="31"/>
  <c r="K106" i="31" s="1" a="1"/>
  <c r="K106" i="31" s="1"/>
  <c r="I79" i="31"/>
  <c r="K79" i="31" s="1" a="1"/>
  <c r="K79" i="31" s="1"/>
  <c r="I100" i="31"/>
  <c r="K100" i="31" s="1" a="1"/>
  <c r="K100" i="31" s="1"/>
  <c r="I80" i="31"/>
  <c r="K80" i="31" s="1" a="1"/>
  <c r="K80" i="31" s="1"/>
  <c r="I84" i="31"/>
  <c r="K84" i="31" s="1" a="1"/>
  <c r="K84" i="31" s="1"/>
  <c r="I75" i="31"/>
  <c r="K75" i="31" s="1" a="1"/>
  <c r="K75" i="31" s="1"/>
  <c r="I74" i="31"/>
  <c r="K74" i="31" s="1" a="1"/>
  <c r="K74" i="31" s="1"/>
  <c r="I81" i="31"/>
  <c r="K81" i="31" s="1" a="1"/>
  <c r="K81" i="31" s="1"/>
  <c r="I89" i="31"/>
  <c r="K89" i="31" s="1" a="1"/>
  <c r="K89" i="31" s="1"/>
  <c r="I122" i="31"/>
  <c r="K122" i="31" s="1" a="1"/>
  <c r="K122" i="31" s="1"/>
  <c r="I91" i="31"/>
  <c r="K91" i="31" s="1" a="1"/>
  <c r="K91" i="31" s="1"/>
  <c r="I77" i="31"/>
  <c r="K77" i="31" s="1" a="1"/>
  <c r="K77" i="31" s="1"/>
  <c r="I120" i="31"/>
  <c r="K120" i="31" s="1" a="1"/>
  <c r="K120" i="31" s="1"/>
  <c r="I82" i="31"/>
  <c r="K82" i="31" s="1" a="1"/>
  <c r="K82" i="31" s="1"/>
  <c r="I111" i="31"/>
  <c r="K111" i="31" s="1" a="1"/>
  <c r="K111" i="31" s="1"/>
  <c r="H82" i="33"/>
  <c r="H122" i="33"/>
  <c r="H83" i="33"/>
  <c r="H124" i="33"/>
  <c r="H76" i="33"/>
  <c r="H77" i="33"/>
  <c r="H87" i="33"/>
  <c r="H88" i="33"/>
  <c r="H84" i="33"/>
  <c r="H108" i="33"/>
  <c r="H93" i="33"/>
  <c r="H85" i="33"/>
  <c r="H102" i="33"/>
  <c r="H81" i="33"/>
  <c r="H86" i="33"/>
  <c r="H91" i="33"/>
  <c r="H79" i="33"/>
  <c r="H80" i="33"/>
  <c r="H113" i="33"/>
  <c r="F68" i="7"/>
  <c r="F44" i="15"/>
  <c r="I77" i="3" s="1"/>
  <c r="F76" i="31" s="1"/>
  <c r="F26" i="17"/>
  <c r="I89" i="3" s="1"/>
  <c r="F88" i="31" s="1"/>
  <c r="F40" i="16"/>
  <c r="F12" i="17"/>
  <c r="I88" i="3" s="1"/>
  <c r="F87" i="31" s="1"/>
  <c r="F19" i="16"/>
  <c r="F49" i="16"/>
  <c r="F35" i="20"/>
  <c r="F59" i="20"/>
  <c r="F64" i="20" s="1"/>
  <c r="F25" i="20"/>
  <c r="F26" i="20"/>
  <c r="F46" i="20"/>
  <c r="F22" i="20"/>
  <c r="F39" i="20"/>
  <c r="F38" i="20"/>
  <c r="F33" i="17"/>
  <c r="F43" i="17"/>
  <c r="F44" i="17" s="1"/>
  <c r="I91" i="3" s="1"/>
  <c r="F90" i="31" s="1"/>
  <c r="O18" i="3"/>
  <c r="N18" i="3"/>
  <c r="Q18" i="3" s="1"/>
  <c r="S14" i="3"/>
  <c r="Q14" i="3"/>
  <c r="R14" i="3"/>
  <c r="T14" i="3"/>
  <c r="P14" i="3"/>
  <c r="O14" i="3"/>
  <c r="W20" i="3"/>
  <c r="W19" i="3"/>
  <c r="W18" i="3"/>
  <c r="W17" i="3"/>
  <c r="W16" i="3"/>
  <c r="W15" i="3"/>
  <c r="W14" i="3"/>
  <c r="W13" i="3"/>
  <c r="W12" i="3"/>
  <c r="W11" i="3"/>
  <c r="W10" i="3"/>
  <c r="W9" i="3"/>
  <c r="W8" i="3"/>
  <c r="W7" i="3"/>
  <c r="W6" i="3"/>
  <c r="W5" i="3"/>
  <c r="W4" i="3"/>
  <c r="W3" i="3"/>
  <c r="F5" i="15"/>
  <c r="I74" i="3" s="1"/>
  <c r="F73" i="31" s="1"/>
  <c r="I73" i="31" l="1"/>
  <c r="K73" i="31" s="1" a="1"/>
  <c r="K73" i="31" s="1"/>
  <c r="I87" i="31"/>
  <c r="K87" i="31" s="1" a="1"/>
  <c r="K87" i="31" s="1"/>
  <c r="I76" i="31"/>
  <c r="K76" i="31" s="1" a="1"/>
  <c r="K76" i="31" s="1"/>
  <c r="I90" i="31"/>
  <c r="K90" i="31" s="1" a="1"/>
  <c r="K90" i="31" s="1"/>
  <c r="I88" i="31"/>
  <c r="K88" i="31" s="1" a="1"/>
  <c r="K88" i="31" s="1"/>
  <c r="H90" i="33"/>
  <c r="H78" i="33"/>
  <c r="H75" i="33"/>
  <c r="H89" i="33"/>
  <c r="H92" i="33"/>
  <c r="I113" i="3"/>
  <c r="F112" i="31" s="1"/>
  <c r="T18" i="3"/>
  <c r="P18" i="3"/>
  <c r="S18" i="3"/>
  <c r="R18" i="3"/>
  <c r="I114" i="3"/>
  <c r="F113" i="31" s="1"/>
  <c r="F61" i="20"/>
  <c r="F63" i="20"/>
  <c r="F65" i="20"/>
  <c r="F85" i="20"/>
  <c r="F91" i="20" s="1"/>
  <c r="F48" i="20"/>
  <c r="F72" i="20"/>
  <c r="F51" i="20"/>
  <c r="F52" i="20"/>
  <c r="F50" i="20"/>
  <c r="I63" i="3"/>
  <c r="F62" i="31" s="1"/>
  <c r="F21" i="14"/>
  <c r="I72" i="3"/>
  <c r="F71" i="31" s="1"/>
  <c r="I113" i="31" l="1"/>
  <c r="K113" i="31" s="1" a="1"/>
  <c r="K113" i="31" s="1"/>
  <c r="I62" i="31"/>
  <c r="K62" i="31" s="1" a="1"/>
  <c r="K62" i="31" s="1"/>
  <c r="I112" i="31"/>
  <c r="K112" i="31" s="1" a="1"/>
  <c r="K112" i="31" s="1"/>
  <c r="I71" i="31"/>
  <c r="K71" i="31" s="1" a="1"/>
  <c r="K71" i="31" s="1"/>
  <c r="H64" i="33"/>
  <c r="H115" i="33"/>
  <c r="H73" i="33"/>
  <c r="H114" i="33"/>
  <c r="F89" i="20"/>
  <c r="F90" i="20"/>
  <c r="I118" i="3" s="1"/>
  <c r="F117" i="31" s="1"/>
  <c r="F87" i="20"/>
  <c r="F111" i="20"/>
  <c r="F117" i="20" s="1"/>
  <c r="I116" i="3"/>
  <c r="F115" i="31" s="1"/>
  <c r="I115" i="3"/>
  <c r="F114" i="31" s="1"/>
  <c r="F118" i="14"/>
  <c r="F119" i="14"/>
  <c r="F120" i="14" s="1"/>
  <c r="I70" i="3" s="1"/>
  <c r="F69" i="31" s="1"/>
  <c r="F37" i="14"/>
  <c r="F38" i="14"/>
  <c r="F98" i="20"/>
  <c r="F74" i="20"/>
  <c r="F76" i="20"/>
  <c r="F78" i="20"/>
  <c r="F77" i="20"/>
  <c r="I64" i="3"/>
  <c r="F63" i="31" s="1"/>
  <c r="I115" i="31" l="1"/>
  <c r="K115" i="31" s="1" a="1"/>
  <c r="K115" i="31" s="1"/>
  <c r="I69" i="31"/>
  <c r="K69" i="31" s="1" a="1"/>
  <c r="K69" i="31" s="1"/>
  <c r="I117" i="31"/>
  <c r="K117" i="31" s="1" a="1"/>
  <c r="K117" i="31" s="1"/>
  <c r="I63" i="31"/>
  <c r="K63" i="31" s="1" a="1"/>
  <c r="K63" i="31" s="1"/>
  <c r="I114" i="31"/>
  <c r="K114" i="31" s="1" a="1"/>
  <c r="K114" i="31" s="1"/>
  <c r="H71" i="33"/>
  <c r="H65" i="33"/>
  <c r="H116" i="33"/>
  <c r="H117" i="33"/>
  <c r="H119" i="33"/>
  <c r="F113" i="20"/>
  <c r="F116" i="20"/>
  <c r="F115" i="20"/>
  <c r="I120" i="3"/>
  <c r="F119" i="31" s="1"/>
  <c r="I117" i="3"/>
  <c r="F116" i="31" s="1"/>
  <c r="F100" i="20"/>
  <c r="F102" i="20"/>
  <c r="F103" i="20"/>
  <c r="F104" i="20"/>
  <c r="F9" i="14"/>
  <c r="F5" i="14"/>
  <c r="F90" i="13"/>
  <c r="F89" i="13"/>
  <c r="F87" i="13"/>
  <c r="F83" i="13"/>
  <c r="F73" i="13"/>
  <c r="F71" i="13"/>
  <c r="F69" i="13"/>
  <c r="F67" i="13"/>
  <c r="F62" i="13"/>
  <c r="F43" i="13"/>
  <c r="F57" i="13" s="1"/>
  <c r="I58" i="3" s="1"/>
  <c r="F57" i="31" s="1"/>
  <c r="F24" i="13"/>
  <c r="F38" i="13" s="1"/>
  <c r="I57" i="3" s="1"/>
  <c r="F56" i="31" s="1"/>
  <c r="F51" i="13"/>
  <c r="F48" i="13"/>
  <c r="F52" i="13"/>
  <c r="F49" i="13"/>
  <c r="F34" i="13"/>
  <c r="F53" i="13" s="1"/>
  <c r="F32" i="13"/>
  <c r="F29" i="13"/>
  <c r="F13" i="13"/>
  <c r="F19" i="13" s="1"/>
  <c r="F6" i="13"/>
  <c r="F5" i="13"/>
  <c r="F15" i="12"/>
  <c r="F5" i="12"/>
  <c r="F10" i="12" s="1"/>
  <c r="F44" i="12"/>
  <c r="F34" i="12"/>
  <c r="F47" i="12"/>
  <c r="F37" i="12"/>
  <c r="I57" i="31" l="1"/>
  <c r="K57" i="31" s="1" a="1"/>
  <c r="K57" i="31" s="1"/>
  <c r="I116" i="31"/>
  <c r="K116" i="31" s="1" a="1"/>
  <c r="K116" i="31" s="1"/>
  <c r="I56" i="31"/>
  <c r="K56" i="31" s="1" a="1"/>
  <c r="K56" i="31" s="1"/>
  <c r="I119" i="31"/>
  <c r="K119" i="31" s="1" a="1"/>
  <c r="K119" i="31" s="1"/>
  <c r="H121" i="33"/>
  <c r="H118" i="33"/>
  <c r="H59" i="33"/>
  <c r="H58" i="33"/>
  <c r="F11" i="14"/>
  <c r="I62" i="3" s="1"/>
  <c r="F61" i="31" s="1"/>
  <c r="F92" i="13"/>
  <c r="I60" i="3" s="1"/>
  <c r="F59" i="31" s="1"/>
  <c r="I56" i="3"/>
  <c r="F55" i="31" s="1"/>
  <c r="I119" i="3"/>
  <c r="F118" i="31" s="1"/>
  <c r="F7" i="13"/>
  <c r="F8" i="13" s="1"/>
  <c r="I55" i="3" s="1"/>
  <c r="F54" i="31" s="1"/>
  <c r="F56" i="13"/>
  <c r="F20" i="12"/>
  <c r="I48" i="3" s="1"/>
  <c r="F47" i="31" s="1"/>
  <c r="F39" i="12"/>
  <c r="I50" i="3" s="1"/>
  <c r="F49" i="31" s="1"/>
  <c r="F49" i="12"/>
  <c r="I51" i="3" s="1"/>
  <c r="F50" i="31" s="1"/>
  <c r="I47" i="3"/>
  <c r="F46" i="31" s="1"/>
  <c r="F78" i="13"/>
  <c r="I59" i="3" s="1"/>
  <c r="F58" i="31" s="1"/>
  <c r="I58" i="31" l="1"/>
  <c r="K58" i="31" s="1" a="1"/>
  <c r="K58" i="31" s="1"/>
  <c r="I55" i="31"/>
  <c r="K55" i="31" s="1" a="1"/>
  <c r="K55" i="31" s="1"/>
  <c r="I54" i="31"/>
  <c r="K54" i="31" s="1" a="1"/>
  <c r="K54" i="31" s="1"/>
  <c r="I118" i="31"/>
  <c r="K118" i="31" s="1" a="1"/>
  <c r="K118" i="31" s="1"/>
  <c r="I46" i="31"/>
  <c r="K46" i="31" s="1" a="1"/>
  <c r="K46" i="31" s="1"/>
  <c r="I59" i="31"/>
  <c r="K59" i="31" s="1" a="1"/>
  <c r="K59" i="31" s="1"/>
  <c r="I50" i="31"/>
  <c r="K50" i="31" s="1" a="1"/>
  <c r="K50" i="31" s="1"/>
  <c r="I61" i="31"/>
  <c r="K61" i="31" s="1" a="1"/>
  <c r="K61" i="31" s="1"/>
  <c r="I49" i="31"/>
  <c r="K49" i="31" s="1" a="1"/>
  <c r="K49" i="31" s="1"/>
  <c r="I47" i="31"/>
  <c r="K47" i="31" s="1" a="1"/>
  <c r="K47" i="31" s="1"/>
  <c r="H52" i="33"/>
  <c r="H60" i="33"/>
  <c r="H61" i="33"/>
  <c r="H63" i="33"/>
  <c r="H48" i="33"/>
  <c r="H51" i="33"/>
  <c r="H56" i="33"/>
  <c r="H120" i="33"/>
  <c r="H49" i="33"/>
  <c r="H57" i="33"/>
  <c r="F53" i="11"/>
  <c r="F50" i="11"/>
  <c r="F43" i="11" l="1"/>
  <c r="F12" i="11"/>
  <c r="F13" i="11"/>
  <c r="F5" i="11"/>
  <c r="F16" i="11" s="1"/>
  <c r="F85" i="10"/>
  <c r="F34" i="31"/>
  <c r="F63" i="10"/>
  <c r="F32" i="31"/>
  <c r="F30" i="31"/>
  <c r="F9" i="10"/>
  <c r="F10" i="10"/>
  <c r="F12" i="10" s="1"/>
  <c r="I29" i="3" s="1"/>
  <c r="F28" i="31" s="1"/>
  <c r="F5" i="10"/>
  <c r="I30" i="31" l="1"/>
  <c r="K30" i="31" s="1" a="1"/>
  <c r="K30" i="31" s="1"/>
  <c r="I34" i="31"/>
  <c r="K34" i="31" s="1" a="1"/>
  <c r="K34" i="31" s="1"/>
  <c r="I32" i="31"/>
  <c r="K32" i="31" s="1" a="1"/>
  <c r="K32" i="31" s="1"/>
  <c r="I28" i="31"/>
  <c r="K28" i="31" s="1" a="1"/>
  <c r="K28" i="31" s="1"/>
  <c r="H32" i="33"/>
  <c r="H34" i="33"/>
  <c r="H30" i="33"/>
  <c r="H36" i="33"/>
  <c r="F42" i="11"/>
  <c r="F39" i="11"/>
  <c r="I41" i="3"/>
  <c r="F40" i="31" s="1"/>
  <c r="I43" i="3"/>
  <c r="F42" i="31" s="1"/>
  <c r="F57" i="11"/>
  <c r="I44" i="3" s="1"/>
  <c r="F43" i="31" s="1"/>
  <c r="F31" i="11"/>
  <c r="I42" i="3" s="1"/>
  <c r="F41" i="31" s="1"/>
  <c r="F95" i="9"/>
  <c r="F98" i="9" s="1"/>
  <c r="F99" i="9" s="1"/>
  <c r="F97" i="9"/>
  <c r="F81" i="9"/>
  <c r="F79" i="9"/>
  <c r="I20" i="3"/>
  <c r="F19" i="31" s="1"/>
  <c r="F64" i="7"/>
  <c r="F62" i="7"/>
  <c r="F53" i="7"/>
  <c r="F51" i="7"/>
  <c r="F63" i="1"/>
  <c r="F19" i="9"/>
  <c r="F21" i="9"/>
  <c r="F27" i="9" s="1"/>
  <c r="F23" i="9"/>
  <c r="F34" i="9"/>
  <c r="F37" i="9"/>
  <c r="F10" i="9"/>
  <c r="F12" i="9" s="1"/>
  <c r="F69" i="9"/>
  <c r="F71" i="9" s="1"/>
  <c r="F63" i="9"/>
  <c r="F72" i="9" s="1"/>
  <c r="F17" i="9"/>
  <c r="F40" i="9"/>
  <c r="F39" i="9"/>
  <c r="F48" i="9"/>
  <c r="F54" i="9"/>
  <c r="I43" i="31" l="1"/>
  <c r="K43" i="31" s="1" a="1"/>
  <c r="K43" i="31" s="1"/>
  <c r="I19" i="31"/>
  <c r="K19" i="31" s="1" a="1"/>
  <c r="K19" i="31" s="1"/>
  <c r="I41" i="31"/>
  <c r="K41" i="31" s="1" a="1"/>
  <c r="K41" i="31" s="1"/>
  <c r="I40" i="31"/>
  <c r="K40" i="31" s="1" a="1"/>
  <c r="K40" i="31" s="1"/>
  <c r="I42" i="31"/>
  <c r="K42" i="31" s="1" a="1"/>
  <c r="K42" i="31" s="1"/>
  <c r="H44" i="33"/>
  <c r="H21" i="33"/>
  <c r="H45" i="33"/>
  <c r="H43" i="33"/>
  <c r="H42" i="33"/>
  <c r="F43" i="9"/>
  <c r="I17" i="3" s="1"/>
  <c r="F16" i="31" s="1"/>
  <c r="F53" i="9"/>
  <c r="F57" i="9"/>
  <c r="F66" i="9"/>
  <c r="F70" i="9"/>
  <c r="I19" i="3"/>
  <c r="F18" i="31" s="1"/>
  <c r="I21" i="3"/>
  <c r="F20" i="31" s="1"/>
  <c r="F91" i="9"/>
  <c r="F93" i="9"/>
  <c r="F67" i="9"/>
  <c r="F58" i="9"/>
  <c r="I18" i="3" s="1"/>
  <c r="F17" i="31" s="1"/>
  <c r="I17" i="31" l="1"/>
  <c r="K17" i="31" s="1" a="1"/>
  <c r="K17" i="31" s="1"/>
  <c r="I18" i="31"/>
  <c r="K18" i="31" s="1" a="1"/>
  <c r="K18" i="31" s="1"/>
  <c r="I16" i="31"/>
  <c r="K16" i="31" s="1" a="1"/>
  <c r="K16" i="31" s="1"/>
  <c r="I20" i="31"/>
  <c r="K20" i="31" s="1" a="1"/>
  <c r="K20" i="31" s="1"/>
  <c r="H20" i="33"/>
  <c r="H22" i="33"/>
  <c r="H18" i="33"/>
  <c r="H19" i="33"/>
  <c r="F24" i="9"/>
  <c r="I15" i="3" l="1"/>
  <c r="F14" i="31" s="1"/>
  <c r="F73" i="7"/>
  <c r="I11" i="3"/>
  <c r="F10" i="31" s="1"/>
  <c r="I10" i="3"/>
  <c r="F9" i="31" s="1"/>
  <c r="F29" i="7"/>
  <c r="F5" i="7"/>
  <c r="F23" i="7"/>
  <c r="I9" i="31" l="1"/>
  <c r="K9" i="31" s="1" a="1"/>
  <c r="K9" i="31" s="1"/>
  <c r="I10" i="31"/>
  <c r="K10" i="31" s="1" a="1"/>
  <c r="K10" i="31" s="1"/>
  <c r="I14" i="31"/>
  <c r="K14" i="31" s="1" a="1"/>
  <c r="K14" i="31" s="1"/>
  <c r="H12" i="33"/>
  <c r="H11" i="33"/>
  <c r="H16" i="33"/>
  <c r="F32" i="7"/>
  <c r="F31" i="7"/>
  <c r="F30" i="7"/>
  <c r="F34" i="7"/>
  <c r="I9" i="3" s="1"/>
  <c r="F8" i="31" s="1"/>
  <c r="F17" i="7"/>
  <c r="I8" i="3" s="1"/>
  <c r="F7" i="31" s="1"/>
  <c r="I16" i="3"/>
  <c r="F15" i="31" s="1"/>
  <c r="I13" i="3"/>
  <c r="F12" i="31" s="1"/>
  <c r="I14" i="3"/>
  <c r="F13" i="31" s="1"/>
  <c r="F22" i="7"/>
  <c r="I12" i="3"/>
  <c r="F11" i="31" s="1"/>
  <c r="I15" i="31" l="1"/>
  <c r="K15" i="31" s="1" a="1"/>
  <c r="K15" i="31" s="1"/>
  <c r="I11" i="31"/>
  <c r="K11" i="31" s="1" a="1"/>
  <c r="K11" i="31" s="1"/>
  <c r="I7" i="31"/>
  <c r="K7" i="31" s="1" a="1"/>
  <c r="K7" i="31" s="1"/>
  <c r="I12" i="31"/>
  <c r="K12" i="31" s="1" a="1"/>
  <c r="K12" i="31" s="1"/>
  <c r="I8" i="31"/>
  <c r="K8" i="31" s="1" a="1"/>
  <c r="K8" i="31" s="1"/>
  <c r="I13" i="31"/>
  <c r="K13" i="31" s="1" a="1"/>
  <c r="K13" i="31" s="1"/>
  <c r="H15" i="33"/>
  <c r="H17" i="33"/>
  <c r="H13" i="33"/>
  <c r="H14" i="33"/>
  <c r="H9" i="33"/>
  <c r="H10" i="33"/>
  <c r="I7" i="3"/>
  <c r="F6" i="31" s="1"/>
  <c r="I6" i="3"/>
  <c r="F5" i="31" s="1"/>
  <c r="F21" i="1"/>
  <c r="F26" i="1" s="1"/>
  <c r="F5" i="1"/>
  <c r="F10" i="1"/>
  <c r="F22" i="1" s="1"/>
  <c r="F12" i="1"/>
  <c r="F9" i="1"/>
  <c r="F13" i="1"/>
  <c r="H30" i="3"/>
  <c r="H38" i="3"/>
  <c r="H111" i="3"/>
  <c r="G4" i="3"/>
  <c r="G5" i="3"/>
  <c r="G6" i="3"/>
  <c r="G7" i="3"/>
  <c r="G8" i="3"/>
  <c r="G9" i="3"/>
  <c r="G10" i="3"/>
  <c r="G11" i="3"/>
  <c r="G12" i="3"/>
  <c r="G13" i="3"/>
  <c r="G14" i="3"/>
  <c r="G15" i="3"/>
  <c r="G16" i="3"/>
  <c r="G17" i="3"/>
  <c r="G18" i="3"/>
  <c r="G19" i="3"/>
  <c r="G20" i="3"/>
  <c r="G21" i="3"/>
  <c r="G22" i="3"/>
  <c r="G23" i="3"/>
  <c r="G24" i="3"/>
  <c r="G25" i="3"/>
  <c r="G26" i="3"/>
  <c r="G27" i="3"/>
  <c r="G28" i="3"/>
  <c r="G29" i="3"/>
  <c r="G30" i="3"/>
  <c r="G29" i="31" s="1"/>
  <c r="G31" i="33" s="1"/>
  <c r="J31" i="33" s="1"/>
  <c r="G31" i="3"/>
  <c r="H31" i="3" s="1"/>
  <c r="G32" i="3"/>
  <c r="H32" i="3" s="1"/>
  <c r="G33" i="3"/>
  <c r="G34" i="3"/>
  <c r="G35" i="3"/>
  <c r="G36" i="3"/>
  <c r="G37" i="3"/>
  <c r="G38" i="3"/>
  <c r="G37" i="31" s="1"/>
  <c r="G39" i="33" s="1"/>
  <c r="J39" i="33" s="1"/>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H89" i="3" s="1"/>
  <c r="G90" i="3"/>
  <c r="H90" i="3" s="1"/>
  <c r="G91" i="3"/>
  <c r="H91" i="3" s="1"/>
  <c r="G92" i="3"/>
  <c r="G93" i="3"/>
  <c r="G94" i="3"/>
  <c r="G95" i="3"/>
  <c r="G96" i="3"/>
  <c r="G97" i="3"/>
  <c r="G98" i="3"/>
  <c r="G99" i="3"/>
  <c r="G100" i="3"/>
  <c r="G101" i="3"/>
  <c r="G102" i="3"/>
  <c r="G103" i="3"/>
  <c r="G104" i="3"/>
  <c r="G105" i="3"/>
  <c r="G106" i="3"/>
  <c r="G107" i="3"/>
  <c r="G108" i="3"/>
  <c r="G109" i="3"/>
  <c r="G110" i="3"/>
  <c r="G111" i="3"/>
  <c r="G110" i="31" s="1"/>
  <c r="G112" i="33" s="1"/>
  <c r="J112" i="33" s="1"/>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3" i="3"/>
  <c r="H3" i="3" s="1"/>
  <c r="I5" i="31" l="1"/>
  <c r="K5" i="31" s="1" a="1"/>
  <c r="K5" i="31" s="1"/>
  <c r="I6" i="31"/>
  <c r="K6" i="31" s="1" a="1"/>
  <c r="K6" i="31" s="1"/>
  <c r="H8" i="33"/>
  <c r="H7" i="33"/>
  <c r="H59" i="3"/>
  <c r="G58" i="31"/>
  <c r="G60" i="33" s="1"/>
  <c r="J60" i="33" s="1"/>
  <c r="H142" i="3"/>
  <c r="G141" i="31"/>
  <c r="G143" i="33" s="1"/>
  <c r="J143" i="33" s="1"/>
  <c r="H130" i="3"/>
  <c r="G129" i="31"/>
  <c r="G131" i="33" s="1"/>
  <c r="J131" i="33" s="1"/>
  <c r="H118" i="3"/>
  <c r="G117" i="31"/>
  <c r="G119" i="33" s="1"/>
  <c r="J119" i="33" s="1"/>
  <c r="H106" i="3"/>
  <c r="G105" i="31"/>
  <c r="G107" i="33" s="1"/>
  <c r="J107" i="33" s="1"/>
  <c r="H94" i="3"/>
  <c r="G93" i="31"/>
  <c r="G95" i="33" s="1"/>
  <c r="J95" i="33" s="1"/>
  <c r="H82" i="3"/>
  <c r="G81" i="31"/>
  <c r="G83" i="33" s="1"/>
  <c r="J83" i="33" s="1"/>
  <c r="H70" i="3"/>
  <c r="G69" i="31"/>
  <c r="G71" i="33" s="1"/>
  <c r="J71" i="33" s="1"/>
  <c r="H58" i="3"/>
  <c r="G57" i="31"/>
  <c r="G59" i="33" s="1"/>
  <c r="J59" i="33" s="1"/>
  <c r="H46" i="3"/>
  <c r="G45" i="31"/>
  <c r="G47" i="33" s="1"/>
  <c r="J47" i="33" s="1"/>
  <c r="H34" i="3"/>
  <c r="G33" i="31"/>
  <c r="G35" i="33" s="1"/>
  <c r="J35" i="33" s="1"/>
  <c r="G21" i="31"/>
  <c r="G23" i="33" s="1"/>
  <c r="J23" i="33" s="1"/>
  <c r="H10" i="3"/>
  <c r="G9" i="31"/>
  <c r="G11" i="33" s="1"/>
  <c r="J11" i="33" s="1"/>
  <c r="H9" i="3"/>
  <c r="G8" i="31"/>
  <c r="G10" i="33" s="1"/>
  <c r="J10" i="33" s="1"/>
  <c r="H155" i="3"/>
  <c r="G154" i="31"/>
  <c r="G156" i="33" s="1"/>
  <c r="J156" i="33" s="1"/>
  <c r="H11" i="3"/>
  <c r="G10" i="31"/>
  <c r="G12" i="33" s="1"/>
  <c r="J12" i="33" s="1"/>
  <c r="H93" i="3"/>
  <c r="G92" i="31"/>
  <c r="G94" i="33" s="1"/>
  <c r="J94" i="33" s="1"/>
  <c r="H152" i="3"/>
  <c r="G151" i="31"/>
  <c r="G153" i="33" s="1"/>
  <c r="J153" i="33" s="1"/>
  <c r="H92" i="3"/>
  <c r="G91" i="31"/>
  <c r="G93" i="33" s="1"/>
  <c r="J93" i="33" s="1"/>
  <c r="H80" i="3"/>
  <c r="G79" i="31"/>
  <c r="G81" i="33" s="1"/>
  <c r="J81" i="33" s="1"/>
  <c r="H68" i="3"/>
  <c r="G67" i="31"/>
  <c r="G69" i="33" s="1"/>
  <c r="J69" i="33" s="1"/>
  <c r="H56" i="3"/>
  <c r="G55" i="31"/>
  <c r="G57" i="33" s="1"/>
  <c r="J57" i="33" s="1"/>
  <c r="H44" i="3"/>
  <c r="G43" i="31"/>
  <c r="G45" i="33" s="1"/>
  <c r="J45" i="33" s="1"/>
  <c r="G31" i="31"/>
  <c r="G33" i="33" s="1"/>
  <c r="J33" i="33" s="1"/>
  <c r="H20" i="3"/>
  <c r="G19" i="31"/>
  <c r="G21" i="33" s="1"/>
  <c r="J21" i="33" s="1"/>
  <c r="H8" i="3"/>
  <c r="G7" i="31"/>
  <c r="G9" i="33" s="1"/>
  <c r="J9" i="33" s="1"/>
  <c r="H83" i="3"/>
  <c r="G82" i="31"/>
  <c r="G84" i="33" s="1"/>
  <c r="J84" i="33" s="1"/>
  <c r="H141" i="3"/>
  <c r="G140" i="31"/>
  <c r="G142" i="33" s="1"/>
  <c r="J142" i="33" s="1"/>
  <c r="H45" i="3"/>
  <c r="G44" i="31"/>
  <c r="G46" i="33" s="1"/>
  <c r="J46" i="33" s="1"/>
  <c r="H104" i="3"/>
  <c r="G103" i="31"/>
  <c r="G105" i="33" s="1"/>
  <c r="J105" i="33" s="1"/>
  <c r="H151" i="3"/>
  <c r="G150" i="31"/>
  <c r="G152" i="33" s="1"/>
  <c r="J152" i="33" s="1"/>
  <c r="H139" i="3"/>
  <c r="G138" i="31"/>
  <c r="G140" i="33" s="1"/>
  <c r="J140" i="33" s="1"/>
  <c r="H127" i="3"/>
  <c r="G126" i="31"/>
  <c r="G128" i="33" s="1"/>
  <c r="J128" i="33" s="1"/>
  <c r="H115" i="3"/>
  <c r="G114" i="31"/>
  <c r="G116" i="33" s="1"/>
  <c r="J116" i="33" s="1"/>
  <c r="H103" i="3"/>
  <c r="G102" i="31"/>
  <c r="G104" i="33" s="1"/>
  <c r="J104" i="33" s="1"/>
  <c r="G90" i="31"/>
  <c r="G92" i="33" s="1"/>
  <c r="J92" i="33" s="1"/>
  <c r="H79" i="3"/>
  <c r="G78" i="31"/>
  <c r="G80" i="33" s="1"/>
  <c r="J80" i="33" s="1"/>
  <c r="H67" i="3"/>
  <c r="G66" i="31"/>
  <c r="G68" i="33" s="1"/>
  <c r="J68" i="33" s="1"/>
  <c r="H55" i="3"/>
  <c r="G54" i="31"/>
  <c r="G56" i="33" s="1"/>
  <c r="J56" i="33" s="1"/>
  <c r="H43" i="3"/>
  <c r="G42" i="31"/>
  <c r="G44" i="33" s="1"/>
  <c r="J44" i="33" s="1"/>
  <c r="G30" i="31"/>
  <c r="G32" i="33" s="1"/>
  <c r="J32" i="33" s="1"/>
  <c r="H19" i="3"/>
  <c r="G18" i="31"/>
  <c r="G20" i="33" s="1"/>
  <c r="J20" i="33" s="1"/>
  <c r="H7" i="3"/>
  <c r="G6" i="31"/>
  <c r="G8" i="33" s="1"/>
  <c r="J8" i="33" s="1"/>
  <c r="H131" i="3"/>
  <c r="G130" i="31"/>
  <c r="G132" i="33" s="1"/>
  <c r="J132" i="33" s="1"/>
  <c r="H23" i="3"/>
  <c r="G22" i="31"/>
  <c r="G24" i="33" s="1"/>
  <c r="J24" i="33" s="1"/>
  <c r="H81" i="3"/>
  <c r="G80" i="31"/>
  <c r="G82" i="33" s="1"/>
  <c r="J82" i="33" s="1"/>
  <c r="H128" i="3"/>
  <c r="G127" i="31"/>
  <c r="G129" i="33" s="1"/>
  <c r="J129" i="33" s="1"/>
  <c r="H150" i="3"/>
  <c r="G149" i="31"/>
  <c r="G151" i="33" s="1"/>
  <c r="J151" i="33" s="1"/>
  <c r="H126" i="3"/>
  <c r="G125" i="31"/>
  <c r="G127" i="33" s="1"/>
  <c r="J127" i="33" s="1"/>
  <c r="H102" i="3"/>
  <c r="G101" i="31"/>
  <c r="G103" i="33" s="1"/>
  <c r="J103" i="33" s="1"/>
  <c r="H78" i="3"/>
  <c r="G77" i="31"/>
  <c r="G79" i="33" s="1"/>
  <c r="J79" i="33" s="1"/>
  <c r="G65" i="31"/>
  <c r="G67" i="33" s="1"/>
  <c r="J67" i="33" s="1"/>
  <c r="H66" i="3"/>
  <c r="H54" i="3"/>
  <c r="G53" i="31"/>
  <c r="G55" i="33" s="1"/>
  <c r="J55" i="33" s="1"/>
  <c r="H42" i="3"/>
  <c r="G41" i="31"/>
  <c r="G43" i="33" s="1"/>
  <c r="J43" i="33" s="1"/>
  <c r="H18" i="3"/>
  <c r="G17" i="31"/>
  <c r="G19" i="33" s="1"/>
  <c r="J19" i="33" s="1"/>
  <c r="G5" i="31"/>
  <c r="G7" i="33" s="1"/>
  <c r="J7" i="33" s="1"/>
  <c r="H95" i="3"/>
  <c r="G94" i="31"/>
  <c r="G96" i="33" s="1"/>
  <c r="J96" i="33" s="1"/>
  <c r="H129" i="3"/>
  <c r="G128" i="31"/>
  <c r="G130" i="33" s="1"/>
  <c r="J130" i="33" s="1"/>
  <c r="H33" i="3"/>
  <c r="G32" i="31"/>
  <c r="G34" i="33" s="1"/>
  <c r="J34" i="33" s="1"/>
  <c r="H116" i="3"/>
  <c r="G115" i="31"/>
  <c r="G117" i="33" s="1"/>
  <c r="J117" i="33" s="1"/>
  <c r="H138" i="3"/>
  <c r="G137" i="31"/>
  <c r="G139" i="33" s="1"/>
  <c r="J139" i="33" s="1"/>
  <c r="H114" i="3"/>
  <c r="G113" i="31"/>
  <c r="G115" i="33" s="1"/>
  <c r="J115" i="33" s="1"/>
  <c r="G89" i="31"/>
  <c r="G91" i="33" s="1"/>
  <c r="J91" i="33" s="1"/>
  <c r="H149" i="3"/>
  <c r="G148" i="31"/>
  <c r="G150" i="33" s="1"/>
  <c r="J150" i="33" s="1"/>
  <c r="H137" i="3"/>
  <c r="G136" i="31"/>
  <c r="G138" i="33" s="1"/>
  <c r="J138" i="33" s="1"/>
  <c r="H125" i="3"/>
  <c r="G124" i="31"/>
  <c r="G126" i="33" s="1"/>
  <c r="J126" i="33" s="1"/>
  <c r="H113" i="3"/>
  <c r="G112" i="31"/>
  <c r="G114" i="33" s="1"/>
  <c r="J114" i="33" s="1"/>
  <c r="H101" i="3"/>
  <c r="G100" i="31"/>
  <c r="G102" i="33" s="1"/>
  <c r="J102" i="33" s="1"/>
  <c r="G88" i="31"/>
  <c r="G90" i="33" s="1"/>
  <c r="J90" i="33" s="1"/>
  <c r="H77" i="3"/>
  <c r="G76" i="31"/>
  <c r="G78" i="33" s="1"/>
  <c r="J78" i="33" s="1"/>
  <c r="G64" i="31"/>
  <c r="G66" i="33" s="1"/>
  <c r="J66" i="33" s="1"/>
  <c r="H65" i="3"/>
  <c r="H53" i="3"/>
  <c r="G52" i="31"/>
  <c r="G54" i="33" s="1"/>
  <c r="J54" i="33" s="1"/>
  <c r="H41" i="3"/>
  <c r="G40" i="31"/>
  <c r="G42" i="33" s="1"/>
  <c r="J42" i="33" s="1"/>
  <c r="H29" i="3"/>
  <c r="G28" i="31"/>
  <c r="G30" i="33" s="1"/>
  <c r="J30" i="33" s="1"/>
  <c r="G16" i="31"/>
  <c r="G18" i="33" s="1"/>
  <c r="J18" i="33" s="1"/>
  <c r="G4" i="31"/>
  <c r="G6" i="33" s="1"/>
  <c r="J6" i="33" s="1"/>
  <c r="H143" i="3"/>
  <c r="G142" i="31"/>
  <c r="G144" i="33" s="1"/>
  <c r="J144" i="33" s="1"/>
  <c r="H47" i="3"/>
  <c r="G46" i="31"/>
  <c r="G48" i="33" s="1"/>
  <c r="J48" i="33" s="1"/>
  <c r="H105" i="3"/>
  <c r="G104" i="31"/>
  <c r="G106" i="33" s="1"/>
  <c r="J106" i="33" s="1"/>
  <c r="H21" i="3"/>
  <c r="G20" i="31"/>
  <c r="G22" i="33" s="1"/>
  <c r="J22" i="33" s="1"/>
  <c r="H136" i="3"/>
  <c r="G135" i="31"/>
  <c r="G137" i="33" s="1"/>
  <c r="J137" i="33" s="1"/>
  <c r="H124" i="3"/>
  <c r="G123" i="31"/>
  <c r="G125" i="33" s="1"/>
  <c r="J125" i="33" s="1"/>
  <c r="H112" i="3"/>
  <c r="G111" i="31"/>
  <c r="G113" i="33" s="1"/>
  <c r="J113" i="33" s="1"/>
  <c r="H100" i="3"/>
  <c r="G99" i="31"/>
  <c r="G101" i="33" s="1"/>
  <c r="J101" i="33" s="1"/>
  <c r="H88" i="3"/>
  <c r="G87" i="31"/>
  <c r="G89" i="33" s="1"/>
  <c r="J89" i="33" s="1"/>
  <c r="H76" i="3"/>
  <c r="G75" i="31"/>
  <c r="G77" i="33" s="1"/>
  <c r="J77" i="33" s="1"/>
  <c r="H64" i="3"/>
  <c r="G63" i="31"/>
  <c r="G65" i="33" s="1"/>
  <c r="J65" i="33" s="1"/>
  <c r="H52" i="3"/>
  <c r="G51" i="31"/>
  <c r="G53" i="33" s="1"/>
  <c r="J53" i="33" s="1"/>
  <c r="H40" i="3"/>
  <c r="G39" i="31"/>
  <c r="G41" i="33" s="1"/>
  <c r="J41" i="33" s="1"/>
  <c r="H28" i="3"/>
  <c r="G27" i="31"/>
  <c r="G29" i="33" s="1"/>
  <c r="J29" i="33" s="1"/>
  <c r="H16" i="3"/>
  <c r="G15" i="31"/>
  <c r="G17" i="33" s="1"/>
  <c r="J17" i="33" s="1"/>
  <c r="H4" i="3"/>
  <c r="G3" i="31"/>
  <c r="G5" i="33" s="1"/>
  <c r="J5" i="33" s="1"/>
  <c r="H99" i="3"/>
  <c r="G98" i="31"/>
  <c r="G100" i="33" s="1"/>
  <c r="J100" i="33" s="1"/>
  <c r="G70" i="31"/>
  <c r="G72" i="33" s="1"/>
  <c r="J72" i="33" s="1"/>
  <c r="H71" i="3"/>
  <c r="H117" i="3"/>
  <c r="G116" i="31"/>
  <c r="G118" i="33" s="1"/>
  <c r="J118" i="33" s="1"/>
  <c r="H63" i="3"/>
  <c r="G62" i="31"/>
  <c r="G64" i="33" s="1"/>
  <c r="J64" i="33" s="1"/>
  <c r="H27" i="3"/>
  <c r="G26" i="31"/>
  <c r="G28" i="33" s="1"/>
  <c r="J28" i="33" s="1"/>
  <c r="H146" i="3"/>
  <c r="G145" i="31"/>
  <c r="G147" i="33" s="1"/>
  <c r="J147" i="33" s="1"/>
  <c r="H122" i="3"/>
  <c r="G121" i="31"/>
  <c r="G123" i="33" s="1"/>
  <c r="J123" i="33" s="1"/>
  <c r="H110" i="3"/>
  <c r="G109" i="31"/>
  <c r="G111" i="33" s="1"/>
  <c r="J111" i="33" s="1"/>
  <c r="H98" i="3"/>
  <c r="G97" i="31"/>
  <c r="G99" i="33" s="1"/>
  <c r="J99" i="33" s="1"/>
  <c r="H86" i="3"/>
  <c r="G85" i="31"/>
  <c r="G87" i="33" s="1"/>
  <c r="J87" i="33" s="1"/>
  <c r="H74" i="3"/>
  <c r="G73" i="31"/>
  <c r="G75" i="33" s="1"/>
  <c r="J75" i="33" s="1"/>
  <c r="H62" i="3"/>
  <c r="G61" i="31"/>
  <c r="G63" i="33" s="1"/>
  <c r="J63" i="33" s="1"/>
  <c r="H50" i="3"/>
  <c r="G49" i="31"/>
  <c r="G51" i="33" s="1"/>
  <c r="J51" i="33" s="1"/>
  <c r="H26" i="3"/>
  <c r="G25" i="31"/>
  <c r="G27" i="33" s="1"/>
  <c r="J27" i="33" s="1"/>
  <c r="H14" i="3"/>
  <c r="G13" i="31"/>
  <c r="G15" i="33" s="1"/>
  <c r="J15" i="33" s="1"/>
  <c r="H119" i="3"/>
  <c r="G118" i="31"/>
  <c r="G120" i="33" s="1"/>
  <c r="J120" i="33" s="1"/>
  <c r="H35" i="3"/>
  <c r="G34" i="31"/>
  <c r="G36" i="33" s="1"/>
  <c r="J36" i="33" s="1"/>
  <c r="H153" i="3"/>
  <c r="G152" i="31"/>
  <c r="G154" i="33" s="1"/>
  <c r="J154" i="33" s="1"/>
  <c r="H57" i="3"/>
  <c r="G56" i="31"/>
  <c r="G58" i="33" s="1"/>
  <c r="J58" i="33" s="1"/>
  <c r="H148" i="3"/>
  <c r="G147" i="31"/>
  <c r="G149" i="33" s="1"/>
  <c r="J149" i="33" s="1"/>
  <c r="H135" i="3"/>
  <c r="G134" i="31"/>
  <c r="G136" i="33" s="1"/>
  <c r="J136" i="33" s="1"/>
  <c r="H87" i="3"/>
  <c r="G86" i="31"/>
  <c r="G88" i="33" s="1"/>
  <c r="J88" i="33" s="1"/>
  <c r="H51" i="3"/>
  <c r="G50" i="31"/>
  <c r="G52" i="33" s="1"/>
  <c r="J52" i="33" s="1"/>
  <c r="H15" i="3"/>
  <c r="G14" i="31"/>
  <c r="G16" i="33" s="1"/>
  <c r="J16" i="33" s="1"/>
  <c r="H145" i="3"/>
  <c r="G144" i="31"/>
  <c r="G146" i="33" s="1"/>
  <c r="J146" i="33" s="1"/>
  <c r="H133" i="3"/>
  <c r="G132" i="31"/>
  <c r="G134" i="33" s="1"/>
  <c r="J134" i="33" s="1"/>
  <c r="H121" i="3"/>
  <c r="G120" i="31"/>
  <c r="G122" i="33" s="1"/>
  <c r="J122" i="33" s="1"/>
  <c r="H109" i="3"/>
  <c r="G108" i="31"/>
  <c r="G110" i="33" s="1"/>
  <c r="J110" i="33" s="1"/>
  <c r="H97" i="3"/>
  <c r="G96" i="31"/>
  <c r="G98" i="33" s="1"/>
  <c r="J98" i="33" s="1"/>
  <c r="H85" i="3"/>
  <c r="G84" i="31"/>
  <c r="G86" i="33" s="1"/>
  <c r="J86" i="33" s="1"/>
  <c r="H73" i="3"/>
  <c r="G72" i="31"/>
  <c r="G74" i="33" s="1"/>
  <c r="J74" i="33" s="1"/>
  <c r="H61" i="3"/>
  <c r="G60" i="31"/>
  <c r="G62" i="33" s="1"/>
  <c r="J62" i="33" s="1"/>
  <c r="H49" i="3"/>
  <c r="G48" i="31"/>
  <c r="G50" i="33" s="1"/>
  <c r="J50" i="33" s="1"/>
  <c r="H37" i="3"/>
  <c r="G36" i="31"/>
  <c r="G38" i="33" s="1"/>
  <c r="J38" i="33" s="1"/>
  <c r="H25" i="3"/>
  <c r="G24" i="31"/>
  <c r="G26" i="33" s="1"/>
  <c r="J26" i="33" s="1"/>
  <c r="H13" i="3"/>
  <c r="G12" i="31"/>
  <c r="G14" i="33" s="1"/>
  <c r="J14" i="33" s="1"/>
  <c r="H107" i="3"/>
  <c r="G106" i="31"/>
  <c r="G108" i="33" s="1"/>
  <c r="J108" i="33" s="1"/>
  <c r="H154" i="3"/>
  <c r="G153" i="31"/>
  <c r="G155" i="33" s="1"/>
  <c r="J155" i="33" s="1"/>
  <c r="H69" i="3"/>
  <c r="G68" i="31"/>
  <c r="G70" i="33" s="1"/>
  <c r="J70" i="33" s="1"/>
  <c r="H140" i="3"/>
  <c r="G139" i="31"/>
  <c r="G141" i="33" s="1"/>
  <c r="J141" i="33" s="1"/>
  <c r="H147" i="3"/>
  <c r="G146" i="31"/>
  <c r="G148" i="33" s="1"/>
  <c r="J148" i="33" s="1"/>
  <c r="H123" i="3"/>
  <c r="G122" i="31"/>
  <c r="G124" i="33" s="1"/>
  <c r="J124" i="33" s="1"/>
  <c r="H75" i="3"/>
  <c r="G74" i="31"/>
  <c r="G76" i="33" s="1"/>
  <c r="J76" i="33" s="1"/>
  <c r="H39" i="3"/>
  <c r="G38" i="31"/>
  <c r="G40" i="33" s="1"/>
  <c r="J40" i="33" s="1"/>
  <c r="H134" i="3"/>
  <c r="G133" i="31"/>
  <c r="G135" i="33" s="1"/>
  <c r="J135" i="33" s="1"/>
  <c r="G2" i="31"/>
  <c r="G4" i="33" s="1"/>
  <c r="J4" i="33" s="1"/>
  <c r="H144" i="3"/>
  <c r="G143" i="31"/>
  <c r="G145" i="33" s="1"/>
  <c r="J145" i="33" s="1"/>
  <c r="H132" i="3"/>
  <c r="G131" i="31"/>
  <c r="G133" i="33" s="1"/>
  <c r="J133" i="33" s="1"/>
  <c r="H120" i="3"/>
  <c r="G119" i="31"/>
  <c r="G121" i="33" s="1"/>
  <c r="J121" i="33" s="1"/>
  <c r="H108" i="3"/>
  <c r="G107" i="31"/>
  <c r="G109" i="33" s="1"/>
  <c r="J109" i="33" s="1"/>
  <c r="H96" i="3"/>
  <c r="G95" i="31"/>
  <c r="G97" i="33" s="1"/>
  <c r="J97" i="33" s="1"/>
  <c r="H84" i="3"/>
  <c r="G83" i="31"/>
  <c r="G85" i="33" s="1"/>
  <c r="J85" i="33" s="1"/>
  <c r="H72" i="3"/>
  <c r="G71" i="31"/>
  <c r="G73" i="33" s="1"/>
  <c r="J73" i="33" s="1"/>
  <c r="H60" i="3"/>
  <c r="G59" i="31"/>
  <c r="G61" i="33" s="1"/>
  <c r="J61" i="33" s="1"/>
  <c r="H48" i="3"/>
  <c r="G47" i="31"/>
  <c r="G49" i="33" s="1"/>
  <c r="J49" i="33" s="1"/>
  <c r="H36" i="3"/>
  <c r="G35" i="31"/>
  <c r="G37" i="33" s="1"/>
  <c r="J37" i="33" s="1"/>
  <c r="H24" i="3"/>
  <c r="G23" i="31"/>
  <c r="G25" i="33" s="1"/>
  <c r="J25" i="33" s="1"/>
  <c r="H12" i="3"/>
  <c r="G11" i="31"/>
  <c r="G13" i="33" s="1"/>
  <c r="J13" i="33" s="1"/>
  <c r="F16" i="1"/>
  <c r="F25" i="1"/>
  <c r="I5" i="3"/>
  <c r="F4" i="31" s="1"/>
  <c r="I4" i="31" l="1"/>
  <c r="K4" i="31" s="1" a="1"/>
  <c r="K4" i="31" s="1"/>
  <c r="H6" i="33"/>
  <c r="N13" i="3"/>
  <c r="R13" i="3" s="1"/>
  <c r="N7" i="3"/>
  <c r="Q7" i="3" s="1"/>
  <c r="O7" i="3"/>
  <c r="N12" i="3"/>
  <c r="P12" i="3" s="1"/>
  <c r="N6" i="3"/>
  <c r="S6" i="3" s="1"/>
  <c r="O13" i="3"/>
  <c r="O11" i="3"/>
  <c r="N4" i="3"/>
  <c r="Q4" i="3" s="1"/>
  <c r="O12" i="3"/>
  <c r="N9" i="3"/>
  <c r="P9" i="3" s="1"/>
  <c r="N15" i="3"/>
  <c r="T15" i="3" s="1"/>
  <c r="O16" i="3"/>
  <c r="O4" i="3"/>
  <c r="N16" i="3"/>
  <c r="P16" i="3" s="1"/>
  <c r="N8" i="3"/>
  <c r="P8" i="3" s="1"/>
  <c r="O17" i="3"/>
  <c r="O5" i="3"/>
  <c r="N20" i="3"/>
  <c r="O9" i="3"/>
  <c r="O3" i="3"/>
  <c r="O19" i="3"/>
  <c r="O8" i="3"/>
  <c r="N11" i="3"/>
  <c r="Q11" i="3" s="1"/>
  <c r="O20" i="3"/>
  <c r="N5" i="3"/>
  <c r="T5" i="3" s="1"/>
  <c r="N10" i="3"/>
  <c r="Q10" i="3" s="1"/>
  <c r="O6" i="3"/>
  <c r="O15" i="3"/>
  <c r="N17" i="3"/>
  <c r="S17" i="3" s="1"/>
  <c r="N19" i="3"/>
  <c r="R19" i="3" s="1"/>
  <c r="O10" i="3"/>
  <c r="I4" i="3"/>
  <c r="F3" i="31" s="1"/>
  <c r="I3" i="3"/>
  <c r="F2" i="31" s="1"/>
  <c r="T7" i="3"/>
  <c r="Q6" i="3" l="1"/>
  <c r="V22" i="3"/>
  <c r="S12" i="3"/>
  <c r="Q12" i="3"/>
  <c r="R12" i="3"/>
  <c r="R20" i="3"/>
  <c r="P6" i="3"/>
  <c r="T12" i="3"/>
  <c r="T6" i="3"/>
  <c r="R6" i="3"/>
  <c r="T13" i="3"/>
  <c r="Q13" i="3"/>
  <c r="S13" i="3"/>
  <c r="P13" i="3"/>
  <c r="I3" i="31"/>
  <c r="K3" i="31" s="1" a="1"/>
  <c r="K3" i="31" s="1"/>
  <c r="I2" i="31"/>
  <c r="K2" i="31" s="1" a="1"/>
  <c r="K2" i="31" s="1"/>
  <c r="H4" i="33"/>
  <c r="H5" i="33"/>
  <c r="S7" i="3"/>
  <c r="R7" i="3"/>
  <c r="P7" i="3"/>
  <c r="T9" i="3"/>
  <c r="S9" i="3"/>
  <c r="R9" i="3"/>
  <c r="Q9" i="3"/>
  <c r="S4" i="3"/>
  <c r="T4" i="3"/>
  <c r="P4" i="3"/>
  <c r="R4" i="3"/>
  <c r="P15" i="3"/>
  <c r="R15" i="3"/>
  <c r="Q15" i="3"/>
  <c r="S15" i="3"/>
  <c r="P10" i="3"/>
  <c r="S20" i="3"/>
  <c r="S8" i="3"/>
  <c r="Q16" i="3"/>
  <c r="S16" i="3"/>
  <c r="R16" i="3"/>
  <c r="T16" i="3"/>
  <c r="Q8" i="3"/>
  <c r="R8" i="3"/>
  <c r="Q20" i="3"/>
  <c r="T20" i="3"/>
  <c r="T8" i="3"/>
  <c r="P20" i="3"/>
  <c r="S5" i="3"/>
  <c r="R5" i="3"/>
  <c r="P5" i="3"/>
  <c r="Q5" i="3"/>
  <c r="P11" i="3"/>
  <c r="R11" i="3"/>
  <c r="T11" i="3"/>
  <c r="O22" i="3"/>
  <c r="S11" i="3"/>
  <c r="P19" i="3"/>
  <c r="Q19" i="3"/>
  <c r="R17" i="3"/>
  <c r="R10" i="3"/>
  <c r="T10" i="3"/>
  <c r="T17" i="3"/>
  <c r="Q17" i="3"/>
  <c r="S10" i="3"/>
  <c r="T19" i="3"/>
  <c r="P17" i="3"/>
  <c r="S19" i="3"/>
  <c r="N3" i="3"/>
  <c r="R3" i="3" s="1"/>
  <c r="N22" i="3" l="1"/>
  <c r="Q22" i="3" s="1"/>
  <c r="Q3" i="3"/>
  <c r="T3" i="3"/>
  <c r="S3" i="3"/>
  <c r="P3" i="3"/>
  <c r="R22" i="3" l="1"/>
  <c r="P22" i="3"/>
  <c r="T22" i="3"/>
  <c r="N26" i="3"/>
  <c r="P26" i="3" s="1"/>
  <c r="S22" i="3"/>
  <c r="F21" i="18"/>
  <c r="F23" i="18" s="1"/>
  <c r="I94" i="3" s="1"/>
  <c r="F93" i="31" s="1"/>
  <c r="I93" i="31" l="1"/>
  <c r="K93" i="31" s="1" a="1"/>
  <c r="K93" i="31" s="1"/>
  <c r="H95"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<sst xmlns="http://schemas.openxmlformats.org/spreadsheetml/2006/main" count="4597" uniqueCount="2216">
  <si>
    <t>Important Notes About This Workbook:</t>
  </si>
  <si>
    <r>
      <t xml:space="preserve">Conditional Formatting of each </t>
    </r>
    <r>
      <rPr>
        <u/>
        <sz val="11"/>
        <color theme="1"/>
        <rFont val="Calibri"/>
        <family val="2"/>
        <scheme val="minor"/>
      </rPr>
      <t>Control ##</t>
    </r>
    <r>
      <rPr>
        <sz val="11"/>
        <color theme="1"/>
        <rFont val="Calibri"/>
        <family val="2"/>
        <scheme val="minor"/>
      </rPr>
      <t xml:space="preserve"> worksheet is dependent upon two criteria:
1. The Value selected for "Implementation Group" on the </t>
    </r>
    <r>
      <rPr>
        <u/>
        <sz val="11"/>
        <color theme="1"/>
        <rFont val="Calibri"/>
        <family val="2"/>
        <scheme val="minor"/>
      </rPr>
      <t>Dashboard</t>
    </r>
    <r>
      <rPr>
        <sz val="11"/>
        <color theme="1"/>
        <rFont val="Calibri"/>
        <family val="2"/>
        <scheme val="minor"/>
      </rPr>
      <t xml:space="preserve"> worksheet
2. The Value of columns A and B of each </t>
    </r>
    <r>
      <rPr>
        <u/>
        <sz val="11"/>
        <color theme="1"/>
        <rFont val="Calibri"/>
        <family val="2"/>
        <scheme val="minor"/>
      </rPr>
      <t>Control ##</t>
    </r>
    <r>
      <rPr>
        <sz val="11"/>
        <color theme="1"/>
        <rFont val="Calibri"/>
        <family val="2"/>
        <scheme val="minor"/>
      </rPr>
      <t xml:space="preserve"> worksheet
Selecting a value on the </t>
    </r>
    <r>
      <rPr>
        <u/>
        <sz val="11"/>
        <color theme="1"/>
        <rFont val="Calibri"/>
        <family val="2"/>
        <scheme val="minor"/>
      </rPr>
      <t>Dashboard</t>
    </r>
    <r>
      <rPr>
        <sz val="11"/>
        <color theme="1"/>
        <rFont val="Calibri"/>
        <family val="2"/>
        <scheme val="minor"/>
      </rPr>
      <t xml:space="preserve"> worksheet controls which Safeguards are suppressed on both the </t>
    </r>
    <r>
      <rPr>
        <u/>
        <sz val="11"/>
        <color theme="1"/>
        <rFont val="Calibri"/>
        <family val="2"/>
        <scheme val="minor"/>
      </rPr>
      <t>Control ##</t>
    </r>
    <r>
      <rPr>
        <sz val="11"/>
        <color theme="1"/>
        <rFont val="Calibri"/>
        <family val="2"/>
        <scheme val="minor"/>
      </rPr>
      <t xml:space="preserve"> and </t>
    </r>
    <r>
      <rPr>
        <u/>
        <sz val="11"/>
        <color theme="1"/>
        <rFont val="Calibri"/>
        <family val="2"/>
        <scheme val="minor"/>
      </rPr>
      <t>ScoringTables</t>
    </r>
    <r>
      <rPr>
        <sz val="11"/>
        <color theme="1"/>
        <rFont val="Calibri"/>
        <family val="2"/>
        <scheme val="minor"/>
      </rPr>
      <t xml:space="preserve"> worksheets.</t>
    </r>
  </si>
  <si>
    <t>WARNING: This workbook is delivered as-is and is not intended for risk assessment purposes.  The measurements performed within this workbook are derived from the measurements described in the CIS Controls Assessment Specification, which is licensed under a Creative Commons Attribution-NonCommercial-No Derivatives 4.0 Internation Public License.  In some cases, the measurements prescribed deviate considerably from the CAS, and are (therefore) not to be shared or utilized outside the State of Oregon Executive Branch.</t>
  </si>
  <si>
    <t>CIS-CAS Alignment Notes:</t>
  </si>
  <si>
    <r>
      <t xml:space="preserve">Calculates "Completeness Score" as a ratio of </t>
    </r>
    <r>
      <rPr>
        <b/>
        <sz val="11"/>
        <color theme="1"/>
        <rFont val="Calibri"/>
        <family val="2"/>
        <scheme val="minor"/>
      </rPr>
      <t>expected</t>
    </r>
    <r>
      <rPr>
        <sz val="11"/>
        <color theme="1"/>
        <rFont val="Calibri"/>
        <family val="2"/>
        <scheme val="minor"/>
      </rPr>
      <t xml:space="preserve"> </t>
    </r>
    <r>
      <rPr>
        <b/>
        <sz val="11"/>
        <color theme="1"/>
        <rFont val="Calibri"/>
        <family val="2"/>
        <scheme val="minor"/>
      </rPr>
      <t>elements</t>
    </r>
    <r>
      <rPr>
        <sz val="11"/>
        <color theme="1"/>
        <rFont val="Calibri"/>
        <family val="2"/>
        <scheme val="minor"/>
      </rPr>
      <t xml:space="preserve"> rather than </t>
    </r>
    <r>
      <rPr>
        <b/>
        <sz val="11"/>
        <color theme="1"/>
        <rFont val="Calibri"/>
        <family val="2"/>
        <scheme val="minor"/>
      </rPr>
      <t>assets</t>
    </r>
  </si>
  <si>
    <t>Calculates score utilizing "first seen" date rather than a "rescan" after 7 days</t>
  </si>
  <si>
    <t>Aligns with CIS-CAS</t>
  </si>
  <si>
    <r>
      <t xml:space="preserve">Calculates score as a ratio of </t>
    </r>
    <r>
      <rPr>
        <b/>
        <sz val="11"/>
        <color theme="1"/>
        <rFont val="Calibri"/>
        <family val="2"/>
        <scheme val="minor"/>
      </rPr>
      <t>expected</t>
    </r>
    <r>
      <rPr>
        <sz val="11"/>
        <color theme="1"/>
        <rFont val="Calibri"/>
        <family val="2"/>
        <scheme val="minor"/>
      </rPr>
      <t xml:space="preserve"> </t>
    </r>
    <r>
      <rPr>
        <b/>
        <sz val="11"/>
        <color theme="1"/>
        <rFont val="Calibri"/>
        <family val="2"/>
        <scheme val="minor"/>
      </rPr>
      <t>elements</t>
    </r>
    <r>
      <rPr>
        <sz val="11"/>
        <color theme="1"/>
        <rFont val="Calibri"/>
        <family val="2"/>
        <scheme val="minor"/>
      </rPr>
      <t xml:space="preserve"> rather than </t>
    </r>
    <r>
      <rPr>
        <b/>
        <sz val="11"/>
        <color theme="1"/>
        <rFont val="Calibri"/>
        <family val="2"/>
        <scheme val="minor"/>
      </rPr>
      <t>assets</t>
    </r>
  </si>
  <si>
    <t>Aligns with CIS-CAS (CIS-CAS calculation notation for "Configuration" is incorrect)</t>
  </si>
  <si>
    <t>Aligns with CIS-CAS (Added option for manual calculation using GPO report)</t>
  </si>
  <si>
    <r>
      <t xml:space="preserve">Calculates score as a ratio of </t>
    </r>
    <r>
      <rPr>
        <b/>
        <sz val="11"/>
        <color theme="1"/>
        <rFont val="Calibri"/>
        <family val="2"/>
        <scheme val="minor"/>
      </rPr>
      <t>expected</t>
    </r>
    <r>
      <rPr>
        <sz val="11"/>
        <color theme="1"/>
        <rFont val="Calibri"/>
        <family val="2"/>
        <scheme val="minor"/>
      </rPr>
      <t xml:space="preserve"> </t>
    </r>
    <r>
      <rPr>
        <b/>
        <sz val="11"/>
        <color theme="1"/>
        <rFont val="Calibri"/>
        <family val="2"/>
        <scheme val="minor"/>
      </rPr>
      <t>elements</t>
    </r>
    <r>
      <rPr>
        <sz val="11"/>
        <color theme="1"/>
        <rFont val="Calibri"/>
        <family val="2"/>
        <scheme val="minor"/>
      </rPr>
      <t xml:space="preserve"> rather than </t>
    </r>
    <r>
      <rPr>
        <b/>
        <sz val="11"/>
        <color theme="1"/>
        <rFont val="Calibri"/>
        <family val="2"/>
        <scheme val="minor"/>
      </rPr>
      <t>accounts</t>
    </r>
  </si>
  <si>
    <t>Calculation excludes MFA elements</t>
  </si>
  <si>
    <t>Aligns with CIS-CAS (utilizes "sample count" of assets rather than a full count of assets)</t>
  </si>
  <si>
    <t>Aligns with CIS-CAS (CIS-CAS calculation notation is incorrect)</t>
  </si>
  <si>
    <t>For more information regarding the CIS Controls or Controls Assessment Specification, please refer to: http://www.cisecurity.org/controls/</t>
  </si>
  <si>
    <t>Implementation Group Assesed:</t>
  </si>
  <si>
    <t>For CSS Assessments, Select "0"</t>
  </si>
  <si>
    <t>Assessment Date:</t>
  </si>
  <si>
    <t>Assessment Target:</t>
  </si>
  <si>
    <r>
      <t xml:space="preserve">To align with </t>
    </r>
    <r>
      <rPr>
        <i/>
        <sz val="11"/>
        <color theme="1"/>
        <rFont val="Calibri"/>
        <family val="2"/>
        <scheme val="minor"/>
      </rPr>
      <t>Statewide Standard</t>
    </r>
    <r>
      <rPr>
        <sz val="11"/>
        <color theme="1"/>
        <rFont val="Calibri"/>
        <family val="2"/>
        <scheme val="minor"/>
      </rPr>
      <t xml:space="preserve"> for review of Policies/Procedures/Processes, set to "24"</t>
    </r>
  </si>
  <si>
    <t>Yes</t>
  </si>
  <si>
    <t>Target % or Above  - Meets Expectations</t>
  </si>
  <si>
    <t>51% - Target % - Needs Improvement</t>
  </si>
  <si>
    <t>26% - 50% - Poor</t>
  </si>
  <si>
    <t>1% - 25% - Extremely Poor</t>
  </si>
  <si>
    <t>Not Implemented</t>
  </si>
  <si>
    <t>Not Assessed</t>
  </si>
  <si>
    <t>Artifact ID</t>
  </si>
  <si>
    <t>Artifact Name</t>
  </si>
  <si>
    <t>Artifact Provided</t>
  </si>
  <si>
    <t>Artifact Review Date</t>
  </si>
  <si>
    <t>GV01</t>
  </si>
  <si>
    <t>Enterprise Asset Inventory</t>
  </si>
  <si>
    <t>Artifact Not Provided</t>
  </si>
  <si>
    <t>GV03.a</t>
  </si>
  <si>
    <t>Configuration Standards: Operating Systems &amp; Software</t>
  </si>
  <si>
    <t>GV03.b</t>
  </si>
  <si>
    <t>Configuration Standards: Active Discovery Tool(s)</t>
  </si>
  <si>
    <t>GV03.c</t>
  </si>
  <si>
    <t>Configuration Standards: Encryption Software / Mecnanisms for End-User Devices</t>
  </si>
  <si>
    <t>GV03.d</t>
  </si>
  <si>
    <t>Configuration Standards: DNS Servers</t>
  </si>
  <si>
    <t>GV03.e</t>
  </si>
  <si>
    <t>Configuration Standards: Authorized Remote Access Assets</t>
  </si>
  <si>
    <t>GV03.f</t>
  </si>
  <si>
    <t>Configuration Standards: Automated Patch Management Software</t>
  </si>
  <si>
    <t>GV03.g</t>
  </si>
  <si>
    <t>Configuration Standards: Vulnerability Scanners / Scanning Software</t>
  </si>
  <si>
    <t>GV03.h</t>
  </si>
  <si>
    <t>Configuration Standards: MFA Mechanisms for Admin Accounts, Remote Access, &amp; Accounts on Externally-Exposed Applications</t>
  </si>
  <si>
    <t>GV04</t>
  </si>
  <si>
    <t>Enterprise Network Architecture Documentation</t>
  </si>
  <si>
    <t>GV05</t>
  </si>
  <si>
    <t>Authorized Software Inventory</t>
  </si>
  <si>
    <t>GV09</t>
  </si>
  <si>
    <t>Approved Configuration(s) for Allowlisting Software</t>
  </si>
  <si>
    <t>GV10</t>
  </si>
  <si>
    <t>Organization's Data Management Process</t>
  </si>
  <si>
    <t>GV12</t>
  </si>
  <si>
    <t>Sensitive Data Inventory</t>
  </si>
  <si>
    <t>GV18</t>
  </si>
  <si>
    <t>Enterprise Assets Storing Sensitive Data</t>
  </si>
  <si>
    <t>GV20</t>
  </si>
  <si>
    <t>Unique Password Policy</t>
  </si>
  <si>
    <t>GV22</t>
  </si>
  <si>
    <t>Inventory of Accounts</t>
  </si>
  <si>
    <t>GV23</t>
  </si>
  <si>
    <t>Inventory of Authentication and Authorization Systems</t>
  </si>
  <si>
    <t>GV24</t>
  </si>
  <si>
    <t>Authorized Automated Patch Management Software</t>
  </si>
  <si>
    <t>GV25</t>
  </si>
  <si>
    <t>List of Vulnerability Scanning Software</t>
  </si>
  <si>
    <t>GV26</t>
  </si>
  <si>
    <t>GV31</t>
  </si>
  <si>
    <t>List of Authorized Anti‐malware Software</t>
  </si>
  <si>
    <t>GV35</t>
  </si>
  <si>
    <t>Assets that are Part of the Network Infrastructure</t>
  </si>
  <si>
    <t>GV43</t>
  </si>
  <si>
    <t>List of workforce members</t>
  </si>
  <si>
    <t>GV44</t>
  </si>
  <si>
    <t>Service Provider Inventory List</t>
  </si>
  <si>
    <t>GV45</t>
  </si>
  <si>
    <t>Service Provider Management Policy</t>
  </si>
  <si>
    <t>GV47</t>
  </si>
  <si>
    <t>Inventory of Third-Party Software Components</t>
  </si>
  <si>
    <t>GV48</t>
  </si>
  <si>
    <t>Process to Accept and Address Software Vulnerabilities</t>
  </si>
  <si>
    <t>GV49</t>
  </si>
  <si>
    <t>Secure Application Development Process</t>
  </si>
  <si>
    <t>GV51</t>
  </si>
  <si>
    <t>Agency Incident Response Documentation</t>
  </si>
  <si>
    <t>GV52</t>
  </si>
  <si>
    <t>Agency Incident Response Process</t>
  </si>
  <si>
    <t>GV53</t>
  </si>
  <si>
    <t>Penetration Testing Program Documentation</t>
  </si>
  <si>
    <t>GV54</t>
  </si>
  <si>
    <t>Most recent external penetration test report for the organization</t>
  </si>
  <si>
    <t>GV55</t>
  </si>
  <si>
    <t>Most recent internal penetration test report for the organization</t>
  </si>
  <si>
    <t>AD01</t>
  </si>
  <si>
    <t>IP Address Management Documentation for the Organization</t>
  </si>
  <si>
    <t>AD02</t>
  </si>
  <si>
    <t>Agency policy documentation that defines the timeframe for removing unauthorized devices</t>
  </si>
  <si>
    <t>AD03</t>
  </si>
  <si>
    <t>List of Active Discovery Tool(s) Used by the Organization</t>
  </si>
  <si>
    <t>AD04</t>
  </si>
  <si>
    <t>Exception Documentation for Unsupported Software That is Necessary for the Fulfillment of the Organization's Mission</t>
  </si>
  <si>
    <t>AD05</t>
  </si>
  <si>
    <t>Policy Documentation That Defines the Timeframe Between Consecutive Active Software Discovery Scans</t>
  </si>
  <si>
    <t>AD06</t>
  </si>
  <si>
    <t>List of Software Inventory Tools in use by the Organization</t>
  </si>
  <si>
    <t>AD07</t>
  </si>
  <si>
    <t>Process for Granting Access to Organization Assets</t>
  </si>
  <si>
    <t>AD08</t>
  </si>
  <si>
    <t>Process for Revoking Access to Organization Assets</t>
  </si>
  <si>
    <t>AD09</t>
  </si>
  <si>
    <t>Organization Vulnerability Management Process</t>
  </si>
  <si>
    <t>AD10</t>
  </si>
  <si>
    <t>Organization Vulnerability Remediation Process</t>
  </si>
  <si>
    <t>AD11</t>
  </si>
  <si>
    <t>Documented Data Recovery Process for the Organization</t>
  </si>
  <si>
    <t>AD12</t>
  </si>
  <si>
    <t>Agency Security Awareness Training Program Plan (or EIS Information Security Awareness &amp; Training Program Plan)</t>
  </si>
  <si>
    <t>AD13</t>
  </si>
  <si>
    <t>AD14</t>
  </si>
  <si>
    <t>Security Awareness and Training metrics for the prior year</t>
  </si>
  <si>
    <t>Safeguard</t>
  </si>
  <si>
    <t>IG</t>
  </si>
  <si>
    <t>Dep</t>
  </si>
  <si>
    <t>MITRE 5</t>
  </si>
  <si>
    <t>Criticality</t>
  </si>
  <si>
    <t>Weight</t>
  </si>
  <si>
    <t>Score</t>
  </si>
  <si>
    <t>Control</t>
  </si>
  <si>
    <t>Residual</t>
  </si>
  <si>
    <t>0-25</t>
  </si>
  <si>
    <t>26-50</t>
  </si>
  <si>
    <t>51-X</t>
  </si>
  <si>
    <t>X-100</t>
  </si>
  <si>
    <t>HIDE</t>
  </si>
  <si>
    <t>Target</t>
  </si>
  <si>
    <t>Establish and Maintain Detailed Enterprise Asset Inventory</t>
  </si>
  <si>
    <t>Inventory and Control of Enterprise Assets</t>
  </si>
  <si>
    <t>Address Unauthorized Assets</t>
  </si>
  <si>
    <t>Inventory and Control of Software Assets</t>
  </si>
  <si>
    <t>Utilize an Active Discovery Tool</t>
  </si>
  <si>
    <t>Data Protection</t>
  </si>
  <si>
    <t>Use Dynamic Host Configuration Protocol (DHCP) Logging to Update Enterprise Asset Inventory</t>
  </si>
  <si>
    <t>Secure Configuration of Enterprise Assets and Software</t>
  </si>
  <si>
    <t>Use a Passive Asset Discovery Tool</t>
  </si>
  <si>
    <t>Account Management</t>
  </si>
  <si>
    <t>Establish and Maintain a Software Inventory</t>
  </si>
  <si>
    <t>Access Control Management</t>
  </si>
  <si>
    <t xml:space="preserve">Ensure Authorized Software is Currently Supported </t>
  </si>
  <si>
    <t>Continuous Vulnerability Management</t>
  </si>
  <si>
    <t>Address Unauthorized Software</t>
  </si>
  <si>
    <t>Audit Log Management</t>
  </si>
  <si>
    <t>Utilize Automated Software Inventory Tools</t>
  </si>
  <si>
    <t>Email and Web Browser Protections</t>
  </si>
  <si>
    <t>Allowlist Authorized Software</t>
  </si>
  <si>
    <t>Malware Defenses</t>
  </si>
  <si>
    <t>Allowlist Authorized Libraries</t>
  </si>
  <si>
    <t>Data Recovery</t>
  </si>
  <si>
    <t>Allowlist Authorized Scripts</t>
  </si>
  <si>
    <t>Network Infrastructure Management</t>
  </si>
  <si>
    <t>Establish and Maintain a Data Management Process</t>
  </si>
  <si>
    <t>Network Monitoring &amp; Defense</t>
  </si>
  <si>
    <t>Establish and Maintain a Data Inventory</t>
  </si>
  <si>
    <t>Security Awareness and Skills Training</t>
  </si>
  <si>
    <t>Configure Data Access Control Lists</t>
  </si>
  <si>
    <t>Service Provider Management</t>
  </si>
  <si>
    <t>Enforce Data Retention</t>
  </si>
  <si>
    <t>Application Software Security</t>
  </si>
  <si>
    <t>Securely Dispose of Data</t>
  </si>
  <si>
    <t>Incident Response Management</t>
  </si>
  <si>
    <t>Encrypt Data on End-User Devices</t>
  </si>
  <si>
    <t>Penetration Testing</t>
  </si>
  <si>
    <t>Establish and Maintain a Data Classification Scheme</t>
  </si>
  <si>
    <t>Document Data Flows</t>
  </si>
  <si>
    <t>Overall Score:</t>
  </si>
  <si>
    <t>Encrypt Data on Removable Media</t>
  </si>
  <si>
    <t>Encrypt Sensitive Data in Transit</t>
  </si>
  <si>
    <t>Encrypt Sensitive Data at Rest</t>
  </si>
  <si>
    <t>Metric</t>
  </si>
  <si>
    <t>Scale</t>
  </si>
  <si>
    <t>Fill</t>
  </si>
  <si>
    <t>Size</t>
  </si>
  <si>
    <t>Segment Data Processing and Storage Based on Sensitivity</t>
  </si>
  <si>
    <t>Deploy a Data Loss Prevention Solution</t>
  </si>
  <si>
    <t>Log Sensitive Data Access</t>
  </si>
  <si>
    <t>Establish and Maintain a Secure Configuration Process</t>
  </si>
  <si>
    <t>Establish and Maintain a Secure Configuration Process for Network Infrastructure</t>
  </si>
  <si>
    <t>Configure Automatic Session Locking on Enterprise Assets</t>
  </si>
  <si>
    <t>Implement and Manage a Firewall on Servers</t>
  </si>
  <si>
    <t>Implement and Manage a Firewall on End-User Devices</t>
  </si>
  <si>
    <t>Securely Manage Enterprise Assets and Software</t>
  </si>
  <si>
    <t>Manage Default Accounts on Enterprise Assets and Software</t>
  </si>
  <si>
    <t>Uninstall or Disable Unnecessary Services on Enterprise Assets and Software</t>
  </si>
  <si>
    <t>Configure Trusted DNS Servers on Enterprise Assets</t>
  </si>
  <si>
    <t>Enforce Automatic Device Lockout on Portable End-User Devices</t>
  </si>
  <si>
    <t>Enforce Remote Wipe Capability on Portable End-User Devices</t>
  </si>
  <si>
    <t>Separate Enterprise Workspaces on Mobile End-User Devices</t>
  </si>
  <si>
    <t>Establish and Maintain an Inventory of Accounts</t>
  </si>
  <si>
    <t>Use Unique Passwords</t>
  </si>
  <si>
    <t>Disable Dormant Accounts</t>
  </si>
  <si>
    <t>Restrict Administrator Privileges to Dedicated Administrator Accounts</t>
  </si>
  <si>
    <t>Establish and Maintain an Inventory of Service Accounts</t>
  </si>
  <si>
    <t>Centralize Account Management</t>
  </si>
  <si>
    <t>Establish an Access Granting Process</t>
  </si>
  <si>
    <t>Establish an Access Revoking Process</t>
  </si>
  <si>
    <t>Require MFA for Externally-Exposed Applications</t>
  </si>
  <si>
    <t>Require MFA for Remote Network Access</t>
  </si>
  <si>
    <t>Require MFA for Administrative Access</t>
  </si>
  <si>
    <t>Establish and Maintain an Inventory of Authentication and Authorization Systems</t>
  </si>
  <si>
    <t>Centralize Access Control</t>
  </si>
  <si>
    <t>Define and Maintain Role-Based Access Control</t>
  </si>
  <si>
    <t>Establish and Maintain a Vulnerability Management Process</t>
  </si>
  <si>
    <t>Establish and Maintain a Remediation Process</t>
  </si>
  <si>
    <t>Perform Automated Operating System Patch Management</t>
  </si>
  <si>
    <t>Perform Automated Application Patch Management</t>
  </si>
  <si>
    <t>Perform Automated Vulnerability Scans of Internal Enterprise Assets</t>
  </si>
  <si>
    <t>Perform Automated Vulnerability Scans of Externally-Exposed Enterprise Assets</t>
  </si>
  <si>
    <t>Remediate Detected Vulnerabilities</t>
  </si>
  <si>
    <t>Establish and Maintain an Audit Log Management Process</t>
  </si>
  <si>
    <t>Collect Audit Logs</t>
  </si>
  <si>
    <t>Ensure Adequate Audit Log Storage</t>
  </si>
  <si>
    <t>Standardize Time Synchronization</t>
  </si>
  <si>
    <t>Collect Detailed Audit Logs</t>
  </si>
  <si>
    <t>Collect DNS Query Audit Logs</t>
  </si>
  <si>
    <t>Collect URL Request Audit Logs</t>
  </si>
  <si>
    <t>Collect Command-Line Audit Logs</t>
  </si>
  <si>
    <t>Centralize Audit Logs</t>
  </si>
  <si>
    <t>Retain Audit Logs</t>
  </si>
  <si>
    <t>Conduct Audit Log Reviews</t>
  </si>
  <si>
    <t>Collect Service Provider Logs</t>
  </si>
  <si>
    <t>Ensure Use of Only Fully Supported Browsers and Email Clients</t>
  </si>
  <si>
    <t>Use DNS Filtering Services</t>
  </si>
  <si>
    <t>Maintain and Enforce Network-Based URL Filters</t>
  </si>
  <si>
    <t>Restrict Unnecessary or Unauthorized Browser and Email Client Extensions</t>
  </si>
  <si>
    <t>Implement DMARC</t>
  </si>
  <si>
    <t>Block Unnecessary File Types</t>
  </si>
  <si>
    <t>Deploy and Maintain Email Server Anti-Malware Protections</t>
  </si>
  <si>
    <t>Deploy and Maintain Anti-Malware Software</t>
  </si>
  <si>
    <t>Configure Automatic Anti-Malware Signature Updates</t>
  </si>
  <si>
    <t>Disable Autorun and Autoplay for Removable Media</t>
  </si>
  <si>
    <t>Configure Automatic Anti-Malware Scanning of Removable Media</t>
  </si>
  <si>
    <t>Enable Anti-Exploitation Features</t>
  </si>
  <si>
    <t>Centrally Manage Anti-Malware Software</t>
  </si>
  <si>
    <t>Use Behavior-Based Anti-Malware Software</t>
  </si>
  <si>
    <t>Establish and Maintain a Data Recovery Process </t>
  </si>
  <si>
    <t>Perform Automated Backups </t>
  </si>
  <si>
    <t>Protect Recovery Data</t>
  </si>
  <si>
    <t>Establish and Maintain an Isolated Instance of Recovery Data </t>
  </si>
  <si>
    <t>Test Data Recovery</t>
  </si>
  <si>
    <t>Ensure Network Infrastructure is Up-to-Date</t>
  </si>
  <si>
    <t>Establish and Maintain a Secure Network Architecture</t>
  </si>
  <si>
    <t>Securely Manage Network Infrastructure</t>
  </si>
  <si>
    <t>Establish and Maintain Architecture Diagram(s)</t>
  </si>
  <si>
    <t>Centralize Network Authentication, Authorization, and Auditing (AAA)</t>
  </si>
  <si>
    <t>Use of Secure Network Management and Communication Protocols </t>
  </si>
  <si>
    <t>Ensure Remote Devices Utilize a VPN and are Connecting to an Enterprise’s AAA Infrastructure</t>
  </si>
  <si>
    <t>Establish and Maintain Dedicated Computing Resources for All Administrative Work</t>
  </si>
  <si>
    <t>Centralize Security Event Alerting</t>
  </si>
  <si>
    <t>Deploy a Host-Based Intrusion Detection Solution</t>
  </si>
  <si>
    <t>Deploy a Network Intrusion Detection Solution</t>
  </si>
  <si>
    <t>Perform Traffic Filtering Between Network Segments</t>
  </si>
  <si>
    <t>Manage Access Control for Remote Assets</t>
  </si>
  <si>
    <t xml:space="preserve">Collect Network Traffic Flow Logs </t>
  </si>
  <si>
    <t>Deploy a Host-Based Intrusion Prevention Solution</t>
  </si>
  <si>
    <t>Deploy a Network Intrusion Prevention Solution</t>
  </si>
  <si>
    <t>Deploy Port-Level Access Control</t>
  </si>
  <si>
    <t>Perform Application Layer Filtering</t>
  </si>
  <si>
    <t>Tune Security Event Alerting Thresholds</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</si>
  <si>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</si>
  <si>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</si>
  <si>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</si>
  <si>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</si>
  <si>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</si>
  <si>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</si>
  <si>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</si>
  <si>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</si>
  <si>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Conduct Role-Specific Security Awareness and Skills Training</t>
  </si>
  <si>
    <t>Establish and Maintain an Inventory of Service Providers</t>
  </si>
  <si>
    <t>Establish and Maintain a Service Provider Management Policy</t>
  </si>
  <si>
    <t>Classify Service Providers</t>
  </si>
  <si>
    <t>Ensure Service Provider Contracts Include Security Requirements</t>
  </si>
  <si>
    <t>Assess Service Providers</t>
  </si>
  <si>
    <t>Monitor Service Providers</t>
  </si>
  <si>
    <t>Securely Decommission Service Providers</t>
  </si>
  <si>
    <t>Establish and Maintain a Secure Application Development Process</t>
  </si>
  <si>
    <t>Establish and Maintain a Process to Accept and Address Software Vulnerabilities</t>
  </si>
  <si>
    <t>Perform Root Cause Analysis on Security Vulnerabilities</t>
  </si>
  <si>
    <t>Establish and Manage an Inventory of Third-Party Software Components</t>
  </si>
  <si>
    <t>Use Up-to-Date and Trusted Third-Party Software Components</t>
  </si>
  <si>
    <t>Establish and Maintain a Severity Rating System and Process for Application Vulnerabilities</t>
  </si>
  <si>
    <t>Use Standard Hardening Configuration Templates for Application Infrastructure</t>
  </si>
  <si>
    <t>Separate Production and Non-Production Systems</t>
  </si>
  <si>
    <t>Train Developers in Application Security Concepts and Secure Coding</t>
  </si>
  <si>
    <t>Apply Secure Design Principles in Application Architectures</t>
  </si>
  <si>
    <t>Leverage Vetted Modules or Services for Application Security Components</t>
  </si>
  <si>
    <t>Implement Code-Level Security Checks</t>
  </si>
  <si>
    <t>Conduct Application Penetration Testing</t>
  </si>
  <si>
    <t>Conduct Threat Modeling</t>
  </si>
  <si>
    <t>Designate Personnel to Manage Incident Handling</t>
  </si>
  <si>
    <t>Establish and Maintain Contact Information for Reporting Security Incidents</t>
  </si>
  <si>
    <t>Establish and Maintain an Enterprise Process for Reporting Incidents</t>
  </si>
  <si>
    <t>Establish and Maintain an Incident Response Process</t>
  </si>
  <si>
    <t>Assign Key Roles and Responsibilities</t>
  </si>
  <si>
    <t>Define Mechanisms for Communicating During Incident Response</t>
  </si>
  <si>
    <t>Conduct Routine Incident Response Exercises</t>
  </si>
  <si>
    <t>Conduct Post-Incident Reviews</t>
  </si>
  <si>
    <t>Establish and Maintain Security Incident Thresholds</t>
  </si>
  <si>
    <t>Establish and Maintain a Penetration Testing Program</t>
  </si>
  <si>
    <t>Perform Periodic External Penetration Tests</t>
  </si>
  <si>
    <t>Remediate Penetration Test Findings</t>
  </si>
  <si>
    <t>Validate Security Measures</t>
  </si>
  <si>
    <t>Perform Periodic Internal Penetration Tests</t>
  </si>
  <si>
    <t>Control 01: Inventory and Control of Enterprise Assets</t>
  </si>
  <si>
    <t>Assessed</t>
  </si>
  <si>
    <t>Establish and Maintain a Detailed Enterprise Asset Inventory</t>
  </si>
  <si>
    <t>Measure</t>
  </si>
  <si>
    <t>Notes</t>
  </si>
  <si>
    <t>M1</t>
  </si>
  <si>
    <t>Enterprise Asset Inventory (GV01)</t>
  </si>
  <si>
    <t>"1" if provided, "0" if not provided</t>
  </si>
  <si>
    <t>M1.a</t>
  </si>
  <si>
    <t>Count of Assets in GV01</t>
  </si>
  <si>
    <t>M2</t>
  </si>
  <si>
    <t>Count of Assets Detected since last update to GV01</t>
  </si>
  <si>
    <t>Count of items in Aggregate Enterprise Asset Inventory - The enterprise's list of all devices detected, manually or through automated scans, since the last update to GV1</t>
  </si>
  <si>
    <t>M3</t>
  </si>
  <si>
    <t>Count of Assets in GV01 Detected</t>
  </si>
  <si>
    <t>M4</t>
  </si>
  <si>
    <t>Count of Assets in GV01 Not Detected</t>
  </si>
  <si>
    <t>Difference between M1.a and M3</t>
  </si>
  <si>
    <t>M5</t>
  </si>
  <si>
    <t>Count of Assets Detected not in GV01 (GV02)</t>
  </si>
  <si>
    <t>Difference between M2 and M3</t>
  </si>
  <si>
    <t>M6</t>
  </si>
  <si>
    <t>Count of Required Elements in GV01</t>
  </si>
  <si>
    <t>The following data elements are required for each entry in the Asset Inventory: hardware address, machine name, asset owner, department, and whether the asset is approved to connect to the network.</t>
  </si>
  <si>
    <t>M7</t>
  </si>
  <si>
    <t>Count of Missing Elements in GV01</t>
  </si>
  <si>
    <t>Difference between expected elements (M1.a*5) and M6</t>
  </si>
  <si>
    <t>M8</t>
  </si>
  <si>
    <t>Months since last update to GV01</t>
  </si>
  <si>
    <t>Count of months since date provided for GV01 and Assessment Date</t>
  </si>
  <si>
    <t>Safeguard 01.01 Accuracy Score</t>
  </si>
  <si>
    <t>M3 / M2</t>
  </si>
  <si>
    <t>Safeguard 01.01 Completeness Score</t>
  </si>
  <si>
    <t>M7 / (M1.a*5)</t>
  </si>
  <si>
    <t>Safeguard 01.01 Average Score</t>
  </si>
  <si>
    <t>Count of Assets in GV02</t>
  </si>
  <si>
    <t>Safeguard 1.01, M5</t>
  </si>
  <si>
    <t>Enterprise Defined Timeframe (in days) for Addressing Unauthorized Assets</t>
  </si>
  <si>
    <t>Count of Assets in GV02 with a "First Seen" date greater than M3 days prior to the Assessment</t>
  </si>
  <si>
    <t>The ratio of unaccounted for, unauthorized assets, to the total assets in the asset inventory.</t>
  </si>
  <si>
    <t>M4 / M2</t>
  </si>
  <si>
    <t>Safeguard 01.02 Final Score</t>
  </si>
  <si>
    <t>Count of Properly Configured Asset Discovery Tools</t>
  </si>
  <si>
    <t>Enumerate those tools that are compliant</t>
  </si>
  <si>
    <t>Count of Improperly Configured Asset Discovery Tools</t>
  </si>
  <si>
    <t>Tools that are not compliant: Difference between M5 and M3</t>
  </si>
  <si>
    <t>Count of Asset Discovery Tools used by the Enterprise</t>
  </si>
  <si>
    <t>Timeframe (in hours) between Active Discovery Scans</t>
  </si>
  <si>
    <t>M1 / M6</t>
  </si>
  <si>
    <t>M3 / M5</t>
  </si>
  <si>
    <t>Safeguard 01.03 Average Score</t>
  </si>
  <si>
    <t>If M5 = 0, Safeguard receives a "0" score | If M7 &gt; 24 hours, Safeguard receives a "0" score</t>
  </si>
  <si>
    <t>Count of DHCP Servers</t>
  </si>
  <si>
    <t>Count of DHCP Servers with Logging Enabled</t>
  </si>
  <si>
    <t>For each DHCP server, enumerate those where DHCP logging is enabled</t>
  </si>
  <si>
    <t>Count of CMDB Servers (GV41)</t>
  </si>
  <si>
    <t>Count of CMDB servers configured to use DHCP logs to update IP addresses</t>
  </si>
  <si>
    <t>For each CMDB server, enumerate those where DHCP logs are used to update IP addresses</t>
  </si>
  <si>
    <t>Count of devices in the DHCP server logs that are not included in the CMDB servers</t>
  </si>
  <si>
    <t>Count of devices in the DHCP server logs that are included in the CMDB servers</t>
  </si>
  <si>
    <t>DHCP Logging Quality</t>
  </si>
  <si>
    <t>M2 / M1</t>
  </si>
  <si>
    <t>CMBD Configuration Quality</t>
  </si>
  <si>
    <t>M4 / M3</t>
  </si>
  <si>
    <t>Safeguard 01.04 Average Score</t>
  </si>
  <si>
    <t>If M4 = 0, Safeguard receives a "0" score.</t>
  </si>
  <si>
    <t>Count of properly configured passive asset discovery tools</t>
  </si>
  <si>
    <t>Enumerate those tools that are properly configured</t>
  </si>
  <si>
    <t>Count of improperly configured passive asset discovery tools</t>
  </si>
  <si>
    <t>Enumerate those tools that are improperly configured (M2) noting the deviations from proper configuration</t>
  </si>
  <si>
    <t>Count of organization's networks that are covered by properly configured passive discovery tools</t>
  </si>
  <si>
    <t>Create a list of the enterprise's networks that have coverage from at least one properly configured passive asset discovery tool</t>
  </si>
  <si>
    <t>Count of organization's networks that are not covered by properly configured passive discovery tools</t>
  </si>
  <si>
    <t>List of the enterprise's networks that do not have coverage from any properly configured passive asset discovery tools: M5 - M3</t>
  </si>
  <si>
    <t>Count of enterprise's networks.</t>
  </si>
  <si>
    <t>The ratio of the organization's networks with coverage from at least one properly configured passive asset discovery tool to the total number of networks</t>
  </si>
  <si>
    <t>Safeguard 01.05 Score</t>
  </si>
  <si>
    <t>If M1 = 0, Safeguard receives a "0" score.</t>
  </si>
  <si>
    <t>Control 02: Inventory and Control of Software Assets</t>
  </si>
  <si>
    <t>Authorized Software Inventory (GV05)</t>
  </si>
  <si>
    <t>Count of Software in GV05</t>
  </si>
  <si>
    <t>Sum of Required Elements in GV05</t>
  </si>
  <si>
    <t>Check GV5 for completeness of detailed information</t>
  </si>
  <si>
    <t>M2.a</t>
  </si>
  <si>
    <t>Check for required data element: software title</t>
  </si>
  <si>
    <t>"1" if yes, "0" if no</t>
  </si>
  <si>
    <t>M2.b</t>
  </si>
  <si>
    <t>Check for required data element: publisher</t>
  </si>
  <si>
    <t>M2.c</t>
  </si>
  <si>
    <t>Check for required data element: software [first] install date</t>
  </si>
  <si>
    <t>M2.d</t>
  </si>
  <si>
    <t>Check for required data element: business purpose</t>
  </si>
  <si>
    <t>M2.e</t>
  </si>
  <si>
    <t>Check for required data element: supported/unsupported designation.</t>
  </si>
  <si>
    <t>M2.f</t>
  </si>
  <si>
    <t>Count of all elements present across GV05</t>
  </si>
  <si>
    <t>The following data elements are required for each entry in the Software Inventory: software title, publisher, software [first] install date, business purpose, supported/unsupported designation.</t>
  </si>
  <si>
    <t>Count of Items in GV05 With Incomplete or Missing Information</t>
  </si>
  <si>
    <t>Items that have missing or incomplete information</t>
  </si>
  <si>
    <t>Months Since Last Update to GV05</t>
  </si>
  <si>
    <t>Count of months since date provided for GV05</t>
  </si>
  <si>
    <t>What percentage of the current enterprise asset inventory contains necessary detailed information?</t>
  </si>
  <si>
    <t>Safeguard 02.01 Accuracy Score</t>
  </si>
  <si>
    <t>Ensure Authorized Software is Currently Supported</t>
  </si>
  <si>
    <t>Count of Items in GV05 That Are Mislabeled as "Unsupported"</t>
  </si>
  <si>
    <t xml:space="preserve">Enumerate each item labeled "unsupported" but "supported" </t>
  </si>
  <si>
    <t>Count of Items in GV05 That Are Mislabeled as "Supported"</t>
  </si>
  <si>
    <t>Enumerate each item labeled "supported" but "unsupported"</t>
  </si>
  <si>
    <t>Count of Unsupported Items</t>
  </si>
  <si>
    <t>Identify and note truly "unsupported" items from M2 and M3</t>
  </si>
  <si>
    <t>Count of Items in GV05 That Are No Longer Supported, But Exception Documentation Exists</t>
  </si>
  <si>
    <t>Note items that do have appropriate exception documentation</t>
  </si>
  <si>
    <t>Count of Items in GV05 That Are No Longer Supported, But Exception Documentation Does NOT Exist</t>
  </si>
  <si>
    <t>Items that do not have appropriate exception documentation: M4-M5</t>
  </si>
  <si>
    <t>Weeks Since Last Update to GV05</t>
  </si>
  <si>
    <t>Count of weeks between date provided for GV05 and Assessment Date</t>
  </si>
  <si>
    <t>Percentage of Unsupported Software In Use</t>
  </si>
  <si>
    <t>M4 / M1</t>
  </si>
  <si>
    <t>Percentage of Software Listed as "Supported" That is Actually Unsupported</t>
  </si>
  <si>
    <t>M3 / M1</t>
  </si>
  <si>
    <t>Percentage of Software Listed as "Unsupported" That is Actually Supported</t>
  </si>
  <si>
    <t>Percentage of Unsupported Software That Has Appropriate Exception Documentation</t>
  </si>
  <si>
    <t>M5 / M4</t>
  </si>
  <si>
    <t>Safeguard 02.02 Final Score</t>
  </si>
  <si>
    <t>Count of Software Intalled on a Sample of Assets</t>
  </si>
  <si>
    <t>Scan the assets identified as software capable enterprise assets (GV7) from GV1 and note software present on each asset</t>
  </si>
  <si>
    <t>Count of Unauthorized Software Installed on Sampled Assets</t>
  </si>
  <si>
    <t>Enumerate unauthorized software identified on assets</t>
  </si>
  <si>
    <t>Percentage of Unauthorized Software from Sampled Assets</t>
  </si>
  <si>
    <t>Percentage of Unauthorized Software from Sampled Assets With a "First Discovered" Date that Exceeds The Allowable Timeframe For Resolution</t>
  </si>
  <si>
    <t>Safeguard 02.03 Final Score</t>
  </si>
  <si>
    <t>Count of Software Capable Assets</t>
  </si>
  <si>
    <t>Use GV1 and GV7 to identify and enumerate assets able to support sofware</t>
  </si>
  <si>
    <t>Count of Assets Unable to Support Software</t>
  </si>
  <si>
    <t>1.01 M1.a - M1</t>
  </si>
  <si>
    <t>Count of Assets Covered by Software Inventory Tools</t>
  </si>
  <si>
    <t>Identify and enumerate if the asset is covered by at least one software inventory tool</t>
  </si>
  <si>
    <t>Count of Assets NOT Covered by Software Inventory Tools</t>
  </si>
  <si>
    <t>Asset is not covered by at least one software inventory tool: M1 - M3</t>
  </si>
  <si>
    <t>The percentage of endpoints covered by software inventory tools to the total number of applicable endpoints</t>
  </si>
  <si>
    <t>Safeguard 02.04 Final Score</t>
  </si>
  <si>
    <t>Count of Assets Capable of Supporting Software Allowlisting</t>
  </si>
  <si>
    <t>Using GV7 identify and enumerate assets capable of supporting allowlisting software (some assets may not enable third-party software installation or otherwise have constrained environments precluding the use of allowlisting software)</t>
  </si>
  <si>
    <t>Count of Assets Capable of Supporting Software Allowlisting That Have Allowlisting Software Installed</t>
  </si>
  <si>
    <t>Identify and enumerate allowlisting capable assets with allowlisting software installed</t>
  </si>
  <si>
    <t>Count of Assets Capable of Supporting Software Allowlisting That DO NOT Have Allowlisting Software Installed</t>
  </si>
  <si>
    <t>Allowlisting capable assets without allowlisting software installed: M1 - M2</t>
  </si>
  <si>
    <t>Count of Assets With Properly Configured Allowlisting Software</t>
  </si>
  <si>
    <t>Identify and enumerate properly configured software</t>
  </si>
  <si>
    <t>Count of Assets With Allowlisting Software That IS NOT Properly Configured</t>
  </si>
  <si>
    <t>Improperly configured software: M2 - M4</t>
  </si>
  <si>
    <t>Timeframe, In Months, Since Last Assessment of Allowlisting Software</t>
  </si>
  <si>
    <t>Compare Date of last assessment of this Safeguard to the current date and note the timeframe in month</t>
  </si>
  <si>
    <t>The percentage of enterprise assets capable of supporting allowlisting with allowlisting installed</t>
  </si>
  <si>
    <t>The percentage of enterprise assets with properly configured allowlisting installed</t>
  </si>
  <si>
    <t>Safeguard 02.05 Final Score</t>
  </si>
  <si>
    <t>Percentage of Installation Coverage * Percentage of Configuration Coverage | If M6 &gt; 6, Safeguard receives a "0" score</t>
  </si>
  <si>
    <t>Approved Configuration(s) for Allowlisting Software (GV09)</t>
  </si>
  <si>
    <t>If approved configuration(s) for allowlisting software (GV09) is not provided, this Safeguard cannot be measured and receives a faling score.</t>
  </si>
  <si>
    <t>Count of Authorized Allowlisting Software</t>
  </si>
  <si>
    <t>Count of Properly Configured Allowlisting Software</t>
  </si>
  <si>
    <t>Identify and enumerate allowlisting software properly configured to allow process loading of authorized libraries</t>
  </si>
  <si>
    <t>Count of Allowlisting Software That IS NOT Properly Configured</t>
  </si>
  <si>
    <t>Allowlisting software improperly configured to allow process loading of authorized libraries: M1 - M2</t>
  </si>
  <si>
    <t>Timeframe, In Months Since Last Review of Allowlisted Authorized Libraries</t>
  </si>
  <si>
    <t>Compare the date from Date of the last assessment of this Safeguard to the current date and note the timeframe in months</t>
  </si>
  <si>
    <t>The percentage of appropriately configured allowlisting software instances within the enterprise.</t>
  </si>
  <si>
    <t>Safeguard 02.06 Final Score</t>
  </si>
  <si>
    <t>If M4 &gt; 6, Safeguard receives a "0" score</t>
  </si>
  <si>
    <t>Count of authorized software capable of executing scripts</t>
  </si>
  <si>
    <t>Use GV8 to identify and enumerate all enterprise authorized software capable of executing scripts, including allowlisting software, email client applications, and web client applications</t>
  </si>
  <si>
    <t>Identify and enumerate software properly configured to allow execution of authorized and signed scripts</t>
  </si>
  <si>
    <t>Identify and enumerate software properly configured to allow execution of authorized and signed scripts from Input 2</t>
  </si>
  <si>
    <t>Count of Software That IS NOT Properly Configured</t>
  </si>
  <si>
    <t>Software improperly configured to allow execution of authorized and signed scripts from Input 2: M1 - M2</t>
  </si>
  <si>
    <t>Compare the date from Date of last assessment of this Safeguard to the current date and note the timeframe in months</t>
  </si>
  <si>
    <t>The percentage of appropriately configured software instances within the enterprise.</t>
  </si>
  <si>
    <t>Safeguard 02.07 Final Score</t>
  </si>
  <si>
    <t>Control 3: Data Protection</t>
  </si>
  <si>
    <t>Does the Process Address Data Sensitivity (GV11)</t>
  </si>
  <si>
    <t>Does the Process Capture Data Owners (GV13)</t>
  </si>
  <si>
    <t>Does the Process Include Guidance for Handling of Data (GV14)</t>
  </si>
  <si>
    <t>Does the Process Include Data Retention Limits Based on Sensitivity of Data (GV15)</t>
  </si>
  <si>
    <t>Does the Process Include Guidance on Disposal Requirements Based on Data Sensitivity (GV16)</t>
  </si>
  <si>
    <t>Enterprise Data Management Process (GV10)</t>
  </si>
  <si>
    <t>The percentage of completeness for the enterprise's data management process.</t>
  </si>
  <si>
    <t xml:space="preserve">(M1 + M2 + M3 + M4 + M5) / 5 </t>
  </si>
  <si>
    <t>Safeguard 3.01 Final Score</t>
  </si>
  <si>
    <t>If GV10 is not provided this Safeguard is measured at "0"</t>
  </si>
  <si>
    <t>Portion of Data Management Process Addressing Data Sensitivity (GV11)</t>
  </si>
  <si>
    <t>3.01 M1</t>
  </si>
  <si>
    <t>Enumerate items in the Sensitive Data Inventory (GV12) that have Mapping to Sensitive Data Types</t>
  </si>
  <si>
    <t>Identify and enumerate items in the data set that have a mapping</t>
  </si>
  <si>
    <t>Enumerate items in the Sensitive Data Inventory (GV12) that DO NOT have Mapping to Sensitive Data Types</t>
  </si>
  <si>
    <t>Items in the data set that do not have a mapping: M9 - M2</t>
  </si>
  <si>
    <t>Enumerate items from M2 that have complete and correct mapping to both sensitivity designations, and to assets from GV01</t>
  </si>
  <si>
    <t>Identify and enumerate items that have complete and correct mapping to asset and sensitivity</t>
  </si>
  <si>
    <t>Enumerate items from M2 that have partial mapping to sensitivity designations only (e.g. no mapping to assets in GV01.)</t>
  </si>
  <si>
    <t>Items that have partial mapping to sensitivity: M2 - M4</t>
  </si>
  <si>
    <t>Enumerate items from M3 that have partial mapping to assets only.</t>
  </si>
  <si>
    <t>Identify and enumerate items that have partial mapping to assets</t>
  </si>
  <si>
    <t>Enumerate items that have not mapping at all (i.e. data that is not mapped to an asset in GV01 or to a data sensitivity designation.)</t>
  </si>
  <si>
    <t>Items that have no mapping at all: M9 - (M2 + M6)</t>
  </si>
  <si>
    <t>Timeframe, in months, since the last update to the sensitive data inventory</t>
  </si>
  <si>
    <t>Compare current date to Input 4 and capture timeframe in months</t>
  </si>
  <si>
    <t>M9</t>
  </si>
  <si>
    <t>Count of all items in the organization's sensitive data inventory (GV12)</t>
  </si>
  <si>
    <t>Completeness of Sensitive Data Inventory</t>
  </si>
  <si>
    <t>M4 / M9</t>
  </si>
  <si>
    <t>Partial Completeness of Sensitive Data Inventory</t>
  </si>
  <si>
    <t>(M5 + M6) / M9</t>
  </si>
  <si>
    <t>Safeguard 3.02 Composite Score</t>
  </si>
  <si>
    <t>Count of sensitive data types correctly mapped to user accounts per the data management process</t>
  </si>
  <si>
    <t>Identify and enumerate sensitive data correctly mapped to user accounts from GV22</t>
  </si>
  <si>
    <t>Count of sensitive data not correctly mapped to user accounts per the data management process</t>
  </si>
  <si>
    <t>Sensitive data not correctly mapped to user accounts from GV22: M6 - M1</t>
  </si>
  <si>
    <t>Count of assets storing sensitive data</t>
  </si>
  <si>
    <t xml:space="preserve">Identify and enumerate all assets storing sensitive data </t>
  </si>
  <si>
    <t>Count of properly configured assets to support data access control</t>
  </si>
  <si>
    <t>Use GV3 to check and enumerate assets that are properly configured to only allow users as identified in M1</t>
  </si>
  <si>
    <t>Count of improperly configured assets to support data access control</t>
  </si>
  <si>
    <t>Assets that are improperly configured to only allow users as identified in M2: M3 - M4</t>
  </si>
  <si>
    <t>Count of Sensitive Data Types (GV17)</t>
  </si>
  <si>
    <t>Portion of Data Management Process Capturing Data Owners (GV13)</t>
  </si>
  <si>
    <t>3.01 M2</t>
  </si>
  <si>
    <t>Portion of Data Management Process Addressing Data Handling (GV14)</t>
  </si>
  <si>
    <t>3.01 M3</t>
  </si>
  <si>
    <t>Completeness of User Access Control</t>
  </si>
  <si>
    <t>Properly Configured Assets</t>
  </si>
  <si>
    <t>Safeguard 3.03 Average Score</t>
  </si>
  <si>
    <t>If GV13 or GV14 is not provided this Safeguard receives a "0" score.</t>
  </si>
  <si>
    <t>Safeguard Title</t>
  </si>
  <si>
    <t>Portion of Data Management Process defining Data Retention Limits (GV15)</t>
  </si>
  <si>
    <t>3.01 M4</t>
  </si>
  <si>
    <t>Count of sensitivity types that require retention timelines</t>
  </si>
  <si>
    <t>Enumerate the number of types of sensitivity (GV17: M1), at a minimum one to differentiate sensitive data from other data</t>
  </si>
  <si>
    <t>Count of sensitivity types that include minimum retention times</t>
  </si>
  <si>
    <t>Identify and enumerate if each type has a minimum retention time (M2) as defined by GV15</t>
  </si>
  <si>
    <t>Count of sensitivity types that include maximum retention times</t>
  </si>
  <si>
    <t>Identify and enumerate if each type has a maximum retention time (M3) as defined by GV15</t>
  </si>
  <si>
    <t>Count of data in inventory that comply with retention policy</t>
  </si>
  <si>
    <t>Identify and enumerate items in the inventory that comply with retention timelines</t>
  </si>
  <si>
    <t>Count of data in inventory that do not comply with retention policy</t>
  </si>
  <si>
    <t>Items in the inventory that do not comply with retention timelines: M6 - M4</t>
  </si>
  <si>
    <t>3.02 M9</t>
  </si>
  <si>
    <t>The percentage of sensitivity types that include minimum retention timelines</t>
  </si>
  <si>
    <t>The percentage of sensitivity types that include maximum retention timelines</t>
  </si>
  <si>
    <t>The percentage of sensitivity data that complies with retention policy</t>
  </si>
  <si>
    <t>M4 / M6</t>
  </si>
  <si>
    <t>Safeguard 3.04 Average Score</t>
  </si>
  <si>
    <t>If GV15 is not provided this Safeguard receives a "0" score.</t>
  </si>
  <si>
    <t>Portion of Data Management Process defining Disposal Requirements based on Data Sensitivity (GV16)</t>
  </si>
  <si>
    <t>3.01 M5</t>
  </si>
  <si>
    <t>Count of sensitive data types with an outlined disposal method</t>
  </si>
  <si>
    <t>Identify and enumerate each type that has a disposal method and process as defined by GV16</t>
  </si>
  <si>
    <t>Count of sensitive data types without an outlined disposal method</t>
  </si>
  <si>
    <t>Identify and enumerate each type that does not have a disposal method and process as defined by GV16: M1 - M2</t>
  </si>
  <si>
    <t>Count of data in inventory that does not comply with disposal requirement</t>
  </si>
  <si>
    <t>Data that does not comply with disposal requirements: M6 - M5</t>
  </si>
  <si>
    <t>Count of data in inventory that complies with disposal requirement</t>
  </si>
  <si>
    <t>Enumerate data that complies with disposal requirements</t>
  </si>
  <si>
    <t>The percentage of data sensitivity types that contain a disposal method and process</t>
  </si>
  <si>
    <t>The percentage of compliance to the data disposal process</t>
  </si>
  <si>
    <t>M5 / M6</t>
  </si>
  <si>
    <t>Safeguard 3.05 Average Score</t>
  </si>
  <si>
    <t>If GV16 is not provided this Safeguard receives a "0" score.</t>
  </si>
  <si>
    <t>Count of approved end-user devices (Subset of GV01)</t>
  </si>
  <si>
    <t>Enumerate the end-user devices</t>
  </si>
  <si>
    <t>Count of approved end-user devices with encryption software installed</t>
  </si>
  <si>
    <t>Use GV5 to identify and enumerate the assets that have encryption software installed</t>
  </si>
  <si>
    <t>Count of approved end-user devices without encryption software</t>
  </si>
  <si>
    <t>Assets without encryption software: M1 - M2</t>
  </si>
  <si>
    <t>Count of properly configured end-user devices</t>
  </si>
  <si>
    <t>Count of improperly configured end-user devices</t>
  </si>
  <si>
    <t>Software that is improperly configured: M2 - M4</t>
  </si>
  <si>
    <t>The percentage of approved devices that are equipped with approved encryption software.</t>
  </si>
  <si>
    <t>The percentage of approved devices equipped with approved encryption software that meet or exceed the approved configuration policy.</t>
  </si>
  <si>
    <t>Safeguard 3.06 Final Score</t>
  </si>
  <si>
    <t>"1" if Data Classification Scheme exists, "0" if no</t>
  </si>
  <si>
    <t>Sensitive Data Types with Sensitivity addressed by the classification scheme</t>
  </si>
  <si>
    <t xml:space="preserve">Enumerate the sensitivity types that are included in the classification scheme </t>
  </si>
  <si>
    <t>Sensitive Data Types with Sensitivity not addressed by the classification scheme</t>
  </si>
  <si>
    <t>Sensitivity types that are not included in the classification scheme: M6-M2</t>
  </si>
  <si>
    <t>Data properly categorized per the classification scheme</t>
  </si>
  <si>
    <t>Identify and enumerate data that contains an accurate classification per the classification scheme</t>
  </si>
  <si>
    <t>Data lacking or improperly categorized per the classification scheme</t>
  </si>
  <si>
    <t>Data that does not contain a classification or contains an inaccurate classification per the classification scheme: M7-M4</t>
  </si>
  <si>
    <t>Count of months since the last review of the classification scheme</t>
  </si>
  <si>
    <t>The percentage of sensitive data types covered within the classification scheme.</t>
  </si>
  <si>
    <t>M2 / M6</t>
  </si>
  <si>
    <t>The percentage of data categorized using the classification scheme.</t>
  </si>
  <si>
    <t>M4 / M7</t>
  </si>
  <si>
    <t>Safeguard 3.07 Composite Score</t>
  </si>
  <si>
    <t>If M1 is not provided this Safeguard receives a failing score | If M8&gt;[defined timeframe], Safeguard receives a "0" or reduced score</t>
  </si>
  <si>
    <t>Enterprise Data Flow Documentation</t>
  </si>
  <si>
    <t>"1" if Data Flow Documentation exists, "0" if no</t>
  </si>
  <si>
    <t>Count of data flows to external enterprises</t>
  </si>
  <si>
    <t>Enumerate the data that flows to external enterprises</t>
  </si>
  <si>
    <t>Count of data flows included in the data flow documentation</t>
  </si>
  <si>
    <t>Enumerate data flows from Operation 2 that are included in M1</t>
  </si>
  <si>
    <t>Count of data flows not included in the data flow documentation</t>
  </si>
  <si>
    <t>Data flows from Operation 2 that are not included in M1: M2-M3</t>
  </si>
  <si>
    <t>Count of months since last review of the data flow documentation</t>
  </si>
  <si>
    <t>Compare the current date to the Date of last review of the data flow documentation. Note the timeframe in months</t>
  </si>
  <si>
    <t>The percentage of existing data flows in the enterprise's data flow documentation.</t>
  </si>
  <si>
    <t>Safeguard 3.08 Final Score</t>
  </si>
  <si>
    <t>If M1 is not provided this Safeguard receives a failing score | If M5&gt;[defined timeframe], Safeguard receives a "0" or reduced score</t>
  </si>
  <si>
    <t>Count of assets authorized to support removable media</t>
  </si>
  <si>
    <t>Use GV1 to identify and enumerate assets authorized to support removable media</t>
  </si>
  <si>
    <t>Count of authorized assets with encryption software installed</t>
  </si>
  <si>
    <t xml:space="preserve">Enumerate the number of assets with encryption software installed </t>
  </si>
  <si>
    <t>Count of authorized assets without encryption software installed</t>
  </si>
  <si>
    <t>Assets without encryption software installed: M1-M2</t>
  </si>
  <si>
    <t>Count of authorized assets with properly configured encryption software</t>
  </si>
  <si>
    <t xml:space="preserve">Enumerate assets that have properly configured encryption software </t>
  </si>
  <si>
    <t>Count of authorized assets with improperly configured encryption software</t>
  </si>
  <si>
    <t>Assets that have improperly configured encryption software: M2-M4</t>
  </si>
  <si>
    <t>The percentage of appropriately configured assets to support removable media.</t>
  </si>
  <si>
    <t>Safeguard 3.09 Final Score</t>
  </si>
  <si>
    <t>Count of items in Sensitive Data Inventory</t>
  </si>
  <si>
    <t>Count of data with properly configured encryption components</t>
  </si>
  <si>
    <t>Enumerate the data items in GV12 that are properly configured</t>
  </si>
  <si>
    <t>Count of data with improperly configured encryption components</t>
  </si>
  <si>
    <t>Data items in GV12 that are improperly configured: M1-M2</t>
  </si>
  <si>
    <t>The percentage of sensitive data properly configured to be encrypted in transit.</t>
  </si>
  <si>
    <t>Safeguard 3.10 Final Score</t>
  </si>
  <si>
    <t>Encrypt Sensitive Data At Rest</t>
  </si>
  <si>
    <t>Count of authorized encryption tools requiring secondary authentication systems</t>
  </si>
  <si>
    <t xml:space="preserve">Use GV5 to identify and enumerate all encryption tools requiring secondary authentication systems </t>
  </si>
  <si>
    <t>Count of enterprise assets storing sensitive data</t>
  </si>
  <si>
    <t>Use GV12 and GV1 to identify and enumerate all enterprise assets storing sensitive data (GV19)</t>
  </si>
  <si>
    <t>Count of assets with at least one encryption tool installed</t>
  </si>
  <si>
    <t>Identify and enumerate assets with at least one encryption tool from M1 installed</t>
  </si>
  <si>
    <t>Count of assets without at least one encryption tool installed</t>
  </si>
  <si>
    <t>Assets without at least one encryption tool from M1 installed: M2-M3</t>
  </si>
  <si>
    <t>The percentage of assets storing sensitive data covered by an encryption tool.</t>
  </si>
  <si>
    <t>Safeguard 3.11 Final Score</t>
  </si>
  <si>
    <t>Count of assets storing, processing, or transmitting sensitive data</t>
  </si>
  <si>
    <t>For each item in GV12 identify the assets that store, process, or transmit sensitive data (GV18)</t>
  </si>
  <si>
    <t>Count of sensitive assets properly separated from less sensitive networks</t>
  </si>
  <si>
    <t>Identify and enumerate any instances of properly separated assets from less sensitive networks</t>
  </si>
  <si>
    <t>Count of sensitive assets improperly separated from less sensitive networks</t>
  </si>
  <si>
    <t>Instances of improperly separated assets from less sensitive networks: M1-M2</t>
  </si>
  <si>
    <t>The percentage of properly separated sensitive assets.</t>
  </si>
  <si>
    <t>Safeguard 3.12 Final Score</t>
  </si>
  <si>
    <t>Enterprise Assets Storing, Processing, and Transmitting Sensitive Data</t>
  </si>
  <si>
    <t>Count of Enterprise Assets Storing, Processing, and Transmitting Sensitive Data (GV19)</t>
  </si>
  <si>
    <t>Count of assets with data loss prevention software</t>
  </si>
  <si>
    <t>Identify and enumerate each asset in GV19 with data loss prevention software installed</t>
  </si>
  <si>
    <t>Count of assets without data loss prevention software</t>
  </si>
  <si>
    <t>Asset in GV19 without data loss prevention software installed: M1-M2</t>
  </si>
  <si>
    <t>Count of assets with properly configured data loss prevention software</t>
  </si>
  <si>
    <t>Identify and enumerate assets with properly configured data loss prevention software</t>
  </si>
  <si>
    <t>Count of assets with improperly configured data loss prevention software</t>
  </si>
  <si>
    <t>Assets with improperly configured data loss prevention software: M2-M4</t>
  </si>
  <si>
    <t>The percentage of assets covered by at least one properly configured data loss prevention software instance.</t>
  </si>
  <si>
    <t>Safeguard 3.13 Final Score</t>
  </si>
  <si>
    <t>3.11 M2</t>
  </si>
  <si>
    <t>Count of assets storing sensitive data with logging software</t>
  </si>
  <si>
    <t>Identify and enumerate assets with logging software installed</t>
  </si>
  <si>
    <t>Count of assets storing sensitive data without logging software</t>
  </si>
  <si>
    <t>Assets that do not have logging software installed: M1-M2</t>
  </si>
  <si>
    <t>Count of assets with properly configured logging</t>
  </si>
  <si>
    <t>Identify and enumerate software that is properly configured</t>
  </si>
  <si>
    <t>Count of assets with improperly configured logging</t>
  </si>
  <si>
    <t>Software that is improperly configured: M2-M4</t>
  </si>
  <si>
    <t>The percentage of properly configured logging on assets storing sensitive data.</t>
  </si>
  <si>
    <t>Safeguard 3.14 Final Score</t>
  </si>
  <si>
    <t>Control #4: Secure Configuration of Enterprise Assets and Software</t>
  </si>
  <si>
    <t>Count of applicable enterprise assets in GV01</t>
  </si>
  <si>
    <t>Identify and enumerate end-user devices, including portable and mobile, non-computing/IoT devices, and servers in GV1</t>
  </si>
  <si>
    <t>Count of software (operating systems, web servers, browsers, databases, and office suites) installed on applicable enterprise assets</t>
  </si>
  <si>
    <t>Using the output of M2, identify and enumerate the software installed on the assets using GV5</t>
  </si>
  <si>
    <t>Count of software that is listed in the configuration standard</t>
  </si>
  <si>
    <t>Enumerate software that is listed in the configuration standard GV3</t>
  </si>
  <si>
    <t>Count of software that is not listed in the configuration standard</t>
  </si>
  <si>
    <t>Software that is not listed in the configuration standard GV3: M3 - M4</t>
  </si>
  <si>
    <t>Months since last update to Configuration Standard for Operating Systems and Software (GV03.a)</t>
  </si>
  <si>
    <t>Count of months since date provided for GV03.a and Assessment Date</t>
  </si>
  <si>
    <t>The percentage of authorized software with secure configuration standards documented and maintained.</t>
  </si>
  <si>
    <t>Safeguard 4.01 Final Score</t>
  </si>
  <si>
    <t>If M6 &gt; [defined timeframe], Safeguard receives a "0" score</t>
  </si>
  <si>
    <t>Count of applicable network infrastructure assets in GV01</t>
  </si>
  <si>
    <t>Identify and enumerate network infrastructure assets in GV1</t>
  </si>
  <si>
    <t>Count of software installed on applicable enterprise assets</t>
  </si>
  <si>
    <t>Count of months since date provided for GV03 and Assessment Date</t>
  </si>
  <si>
    <t>Safeguard 4.02 Final Score</t>
  </si>
  <si>
    <t>Count of assets capable of supporting automatic session locking</t>
  </si>
  <si>
    <t>Identify and enumerate assets within GV1 that support automatic session locking due to inactivity</t>
  </si>
  <si>
    <t>Count of assets with authorized software installed to allow automatic session locking</t>
  </si>
  <si>
    <t>Use GV5 to identify and enumerate assets from Operation 1 with authorized software installed</t>
  </si>
  <si>
    <t>Count of general computing assets with properly configured automatic session locking</t>
  </si>
  <si>
    <t>For general computing assets, enumerate those assets with properly configured automatic session locking</t>
  </si>
  <si>
    <t>Count of general computing assets with improperly configured automatic session locking</t>
  </si>
  <si>
    <t>For general computing assets, enumerate those assets with improperly configured automatic session locking</t>
  </si>
  <si>
    <t>Count of mobile assets with properly configured automatic session locking</t>
  </si>
  <si>
    <t>For mobile assets, enumerate those assets with properly configured automatic session locking</t>
  </si>
  <si>
    <t>Count of mobile assets with improperly configured automatic session locking</t>
  </si>
  <si>
    <t>For mobile assets, enumerate those assets with improperly configured automatic session locking</t>
  </si>
  <si>
    <t>The percentage of assets properly configured for automatic session locking.</t>
  </si>
  <si>
    <t>(M3 + M5) / M1</t>
  </si>
  <si>
    <t>Safeguard 4.03 Final Score</t>
  </si>
  <si>
    <t>Count of servers capable of hosting a firewall</t>
  </si>
  <si>
    <t>Identify and enumerate servers capable of hosting a firewall using GV1</t>
  </si>
  <si>
    <t>Count of applications of hosting a firewall</t>
  </si>
  <si>
    <t>Identify and enumerate applications capable of hosting a firewall using GV5</t>
  </si>
  <si>
    <t>Count of servers with properly configured firewalls</t>
  </si>
  <si>
    <t xml:space="preserve">Enumerate servers from Operation 1 with properly configured firewalls </t>
  </si>
  <si>
    <t>Count of servers with improperly configured firewalls</t>
  </si>
  <si>
    <t>Servers with improperly configured firewalls: M1 - M3</t>
  </si>
  <si>
    <t>Count of applications with properly configured firewalls</t>
  </si>
  <si>
    <t xml:space="preserve">Enumerate applications from Operation 2 with properly configured firewalls </t>
  </si>
  <si>
    <t>Count of applications with improperly configured firewalls</t>
  </si>
  <si>
    <t>Spplications  with improperly configured firewalls: M2 - M5</t>
  </si>
  <si>
    <t>The percentage of properly configured firewalls within the enterprise</t>
  </si>
  <si>
    <t>(M3 + M5) / (M1 + M2)</t>
  </si>
  <si>
    <t>Safeguard 4.04 Final Score</t>
  </si>
  <si>
    <t>Count of end-user devices capable of hosting a firewall</t>
  </si>
  <si>
    <t>Identify and enumerate end-user devices capable of hosting a firewall or a deny rule using GV1</t>
  </si>
  <si>
    <t>Count of end-user devices with a properly configured (CIS L1) firewall or default deny rule</t>
  </si>
  <si>
    <t>Leave blank when scoring manually using GPO settings (below)</t>
  </si>
  <si>
    <t>Ensure 'Windows Firewall: Domain: Firewall state' is set to 'On (recommended)'</t>
  </si>
  <si>
    <t>Ensure 'Windows Firewall: Domain: Inbound connections' is set to 'Block (default)'</t>
  </si>
  <si>
    <t>"1" if yes, "0" if no | HKLM\SOFTWARE\Policies\Microsoft\WindowsFirewall\DomainProfile:DefaultInboundAction</t>
  </si>
  <si>
    <t>Ensure 'Windows Firewall: Private: Firewall state' is set to 'On (recommended)'</t>
  </si>
  <si>
    <t>Ensure 'Windows Firewall: Private: Inbound connections' is set to 'Block (default)'</t>
  </si>
  <si>
    <t>"1" if yes, "0" if no | HKLM\SOFTWARE\Policies\Microsoft\WindowsFirewall\PrivateProfile:DefaultInboundAction</t>
  </si>
  <si>
    <t>Ensure 'Windows Firewall: Public: Firewall state' is set to 'On (recommended)'</t>
  </si>
  <si>
    <t>Ensure 'Windows Firewall: Public: Inbound connections' is set to 'Block (default)'</t>
  </si>
  <si>
    <t>"1" if yes, "0" if no | HKLM\SOFTWARE\Policies\Microsoft\WindowsFirewall\PublicProfile:DefaultInboundAction</t>
  </si>
  <si>
    <t>M2.g</t>
  </si>
  <si>
    <t>Ensure 'Windows Firewall: Public: Settings: Apply local firewall rules' is set to 'No'</t>
  </si>
  <si>
    <t>"1" if yes, "0" if no | HKLM\SOFTWARE\Policies\Microsoft\WindowsFirewall\PublicProfile:AllowLocalPolicyMerge</t>
  </si>
  <si>
    <t>M2.h</t>
  </si>
  <si>
    <t>Ensure 'Windows Firewall: Public: Settings: Apply local connection security rules' is set to 'No'</t>
  </si>
  <si>
    <t>"1" if yes, "0" if no | HKLM\SOFTWARE\Policies\Microsoft\WindowsFirewall\PublicProfile:AllowLocalIPsecPolicyMerge</t>
  </si>
  <si>
    <t>Count of end-user devices with an improperly configured firewall and lacking a configured default deny rule</t>
  </si>
  <si>
    <t>M1 - M2</t>
  </si>
  <si>
    <t>The percentage of properly configured firewalls or deny rule on end-user devices</t>
  </si>
  <si>
    <t>Safeguard 4.05 Final Score</t>
  </si>
  <si>
    <t>Count of authorized management software</t>
  </si>
  <si>
    <t>Using GV5, identify and enumerate authorized management software</t>
  </si>
  <si>
    <t>Count of enterprise assets capable of supporting management software</t>
  </si>
  <si>
    <t>Using GV1, identify and enumerate assets capable of supporting management software</t>
  </si>
  <si>
    <t>Count of assets with authorized management software installed</t>
  </si>
  <si>
    <t>Using the M1 and M2, identify and enumerate assets with authorized management software installed</t>
  </si>
  <si>
    <t>Count of assets with properly configured management software</t>
  </si>
  <si>
    <t>Enumerate assets from Operation 3 with properly configured management software</t>
  </si>
  <si>
    <t>Count of assets with improperly configured management software</t>
  </si>
  <si>
    <t>Assets with improperly configured management software:M2 - M4</t>
  </si>
  <si>
    <t>The percentage of assets with properly configured authorized management software</t>
  </si>
  <si>
    <t>Safeguard 4.06 Final Score</t>
  </si>
  <si>
    <t>Count of software that uses default accounts</t>
  </si>
  <si>
    <t>Use GV5 to identify and enumerate authorized operating software, applications, and third-party software that contain default accounts</t>
  </si>
  <si>
    <t>Count of assets with software installed that uses default accounts</t>
  </si>
  <si>
    <t xml:space="preserve">Use GV1 to identify and enumerate assets with software from Operation 1, installed </t>
  </si>
  <si>
    <t>Count of default accounts identified</t>
  </si>
  <si>
    <t>For each asset identified in M2, enumerate default accounts</t>
  </si>
  <si>
    <t>Count of default accounts that have been disabled</t>
  </si>
  <si>
    <t>Enumerate accounts that are disabled</t>
  </si>
  <si>
    <t>Count of default accounts that are enabled</t>
  </si>
  <si>
    <t>Accounts that are enabled: M3 - M4</t>
  </si>
  <si>
    <t>Count of enabled default accounts with changed account names</t>
  </si>
  <si>
    <t>The percentage of default accounts that have been rendered unusable or renamed</t>
  </si>
  <si>
    <t>(M4 + M6) / M3</t>
  </si>
  <si>
    <t>Safeguard 4.07 Final Score</t>
  </si>
  <si>
    <t>Count of authorized services</t>
  </si>
  <si>
    <t>Use GV5 to identify and enumerate authorized services</t>
  </si>
  <si>
    <t>Count of services on enterprise assets</t>
  </si>
  <si>
    <t>Use GV1 to identify and enumerate services on enterprise assets</t>
  </si>
  <si>
    <t>Count of authorized services on assets</t>
  </si>
  <si>
    <t>Identify and enumerate authorized services on assets</t>
  </si>
  <si>
    <t>Count of unauthorized services on assets</t>
  </si>
  <si>
    <t>Unauthorized services on assets: M2 - M3</t>
  </si>
  <si>
    <t>Count of unauthorized services that are disabled</t>
  </si>
  <si>
    <t>Identify and enumerate services that are configured correctly (disabled)</t>
  </si>
  <si>
    <t>Count of unauthorized services that are enabled</t>
  </si>
  <si>
    <t>Services that are configured improperly (enabled): M4 - M5</t>
  </si>
  <si>
    <t>The percentage of services installed/running that are compliant</t>
  </si>
  <si>
    <t>(M3 + M5) / M2</t>
  </si>
  <si>
    <t>The percentage of services installed/running that are non-compliant</t>
  </si>
  <si>
    <t>M6 / M2</t>
  </si>
  <si>
    <t>Safeguard 4.08 Final Score</t>
  </si>
  <si>
    <t>Count of authorized DNS servers</t>
  </si>
  <si>
    <t>Use GV1 to identify and enumerate authorized DNS servers</t>
  </si>
  <si>
    <t>Count of enterprise assets configured for DNS servers</t>
  </si>
  <si>
    <t>Use GV1 to identify and enumerate assets configured for authorized DNS servers</t>
  </si>
  <si>
    <t>Count of assets with properly configured DNS servers</t>
  </si>
  <si>
    <t>Identify and enumerate assets with DNS servers that are properly configured</t>
  </si>
  <si>
    <t>Count of assets with improperly configured DNS servers</t>
  </si>
  <si>
    <t>Assets with DNS servers that are improperly configured: M2 - M3</t>
  </si>
  <si>
    <t>The percentage of assets with properly configured DNS servers</t>
  </si>
  <si>
    <t>Safeguard 4.09 Final Score</t>
  </si>
  <si>
    <t>Count of portable devices</t>
  </si>
  <si>
    <t>Use GV1 to identify and enumerate all portable devices</t>
  </si>
  <si>
    <t>Count of properly configured laptops</t>
  </si>
  <si>
    <t>Identify and enumerate failed authentication on laptops that are properly configured</t>
  </si>
  <si>
    <t>Count of improperly configured laptops</t>
  </si>
  <si>
    <t>Identify and enumerate failed authentication on laptops that are not properly configured</t>
  </si>
  <si>
    <t>Count of properly configured mobile devices</t>
  </si>
  <si>
    <t>Identify and enumerate failed authentication on mobile devices that are properly configured</t>
  </si>
  <si>
    <t>Count of improperly configured mobile devices</t>
  </si>
  <si>
    <t>Identify and enumerate failed authentication on mobile devices that are not properly configured</t>
  </si>
  <si>
    <t>The percentage of portable devices with properly configured failed authentication.</t>
  </si>
  <si>
    <t>(M2 + M4) / M1</t>
  </si>
  <si>
    <t>Safeguard 4.10 Final Score</t>
  </si>
  <si>
    <t>Count of portable devices capable of supporting remote wipe</t>
  </si>
  <si>
    <t>Use GV21 to identify and enumerate portable end-user devices that support remote wipe</t>
  </si>
  <si>
    <t>Count of properly configured portable devices</t>
  </si>
  <si>
    <t>Identify and enumerate portable devices with properly configured remote wipe</t>
  </si>
  <si>
    <t>Count of improperly configured portable devices</t>
  </si>
  <si>
    <t>Portable devices with improperly configured remote wipe: M1 - M2</t>
  </si>
  <si>
    <t>The percentage of portable devices with properly configured remote wipe.</t>
  </si>
  <si>
    <t>Safeguard 4.11 Final Score</t>
  </si>
  <si>
    <t>Count of authorized mobile device management software</t>
  </si>
  <si>
    <t xml:space="preserve">Use GV5 to identify and enumerate authorized mobile device management software </t>
  </si>
  <si>
    <t>Count of mobile devices capable of supporting mobile device management software</t>
  </si>
  <si>
    <t>Use GV21 to identify mobile devices capable of supporting mobile device management software</t>
  </si>
  <si>
    <t>Count of mobile devices with mobile device management software</t>
  </si>
  <si>
    <t>Identify and enumerate mobile devices with authorized mobile device management software</t>
  </si>
  <si>
    <t>Count of mobile devices without mobile device management software</t>
  </si>
  <si>
    <t>Mobile devices without authorized mobile device management software: M2 - M3</t>
  </si>
  <si>
    <t>Count of assets with properly configured mobile device management software</t>
  </si>
  <si>
    <t>Identify and enumerate mobile devices with properly configured mobile device management software to separate enterprise workspace</t>
  </si>
  <si>
    <t>Count of assets with improperly configured mobile device management software</t>
  </si>
  <si>
    <t>Mobile devices with improperly configured mobile device management software: M3 - M5</t>
  </si>
  <si>
    <t>The percentage of mobile devices with properly separated enterprise workspace.</t>
  </si>
  <si>
    <t>M5 / M2</t>
  </si>
  <si>
    <t>Safeguard 4.12 Final Score</t>
  </si>
  <si>
    <t>Control 5: Account Management</t>
  </si>
  <si>
    <t>Inventory of Accounts (GV22)</t>
  </si>
  <si>
    <t>Count of accounts in GV22</t>
  </si>
  <si>
    <t>Count of elements provided in the inventory</t>
  </si>
  <si>
    <t>person’s name, username, start/stop dates, and department</t>
  </si>
  <si>
    <t>Count of elements found in GV22</t>
  </si>
  <si>
    <t>Count of elements missing from GV22</t>
  </si>
  <si>
    <t>(M2 * M3) - M4</t>
  </si>
  <si>
    <t>Count of current accounts discovered</t>
  </si>
  <si>
    <t>Count of discovered accounts that are included in GV22</t>
  </si>
  <si>
    <t>Count of discovered accounts that are not included in GV22</t>
  </si>
  <si>
    <t>M6 - M7</t>
  </si>
  <si>
    <t>Timeframe of the last update to GV22 in months</t>
  </si>
  <si>
    <t>Count of months since date provided for GV22 and Assessment Date</t>
  </si>
  <si>
    <t>The percentage of accounts with complete information.</t>
  </si>
  <si>
    <t>M4 / (M2 * M3)</t>
  </si>
  <si>
    <t>The percentage of accurately listed accounts in the inventory.</t>
  </si>
  <si>
    <t>M7 / M6</t>
  </si>
  <si>
    <t>Safeguard 5.01 Average Score</t>
  </si>
  <si>
    <t>Unique Password Policy (GV20)</t>
  </si>
  <si>
    <t>Does guidance exist for accounts without MFA?</t>
  </si>
  <si>
    <t>Number of Systems tested for password complexity elements</t>
  </si>
  <si>
    <t>M3.a</t>
  </si>
  <si>
    <t>Set 'Minimum password length' to '14 or more characters'</t>
  </si>
  <si>
    <t>M3.b</t>
  </si>
  <si>
    <t>Set 'Enforce password history' to '24 or more password(s)'</t>
  </si>
  <si>
    <t>M3.c</t>
  </si>
  <si>
    <t>Set 'Maximum password age' to '60 or fewer days, but not 0'</t>
  </si>
  <si>
    <t>M3.d</t>
  </si>
  <si>
    <t>Set 'Minimum password age' to '1 or more day(s)'</t>
  </si>
  <si>
    <t>Does guidance exist for accounts with MFA?</t>
  </si>
  <si>
    <t>Does guidance for accounts with MFA meet minimum guidance?</t>
  </si>
  <si>
    <t>Percentage of minimum password complexity implementation</t>
  </si>
  <si>
    <t>(M3.a + M3.b + M3.c + M3.d) / (M3*4)</t>
  </si>
  <si>
    <t>Safeguard 5.02 Final Score</t>
  </si>
  <si>
    <t>If GV20 is not provided, Safeguard receives a "0" score</t>
  </si>
  <si>
    <t>Timeframe of dormant threshold in days</t>
  </si>
  <si>
    <t>Count of dormant accounts</t>
  </si>
  <si>
    <t>Count of active accounts</t>
  </si>
  <si>
    <t>M1 - M3</t>
  </si>
  <si>
    <t>Count of dormant accounts that have been disabled</t>
  </si>
  <si>
    <t>M3 - M6</t>
  </si>
  <si>
    <t>Count of dormant accounts still enabled</t>
  </si>
  <si>
    <t>M6 / M1</t>
  </si>
  <si>
    <t>The percentage of dormant accounts still enabled.</t>
  </si>
  <si>
    <t>M6 / M3</t>
  </si>
  <si>
    <t>Safeguard 5.03 Final Score</t>
  </si>
  <si>
    <t>Count of authorized administrator users with active administrator accounts</t>
  </si>
  <si>
    <t>Count of authorized administrator users without active administrator accounts</t>
  </si>
  <si>
    <t>M6 - M1</t>
  </si>
  <si>
    <t>Count of non-authorized users with active administrator accounts</t>
  </si>
  <si>
    <t>Count of authorized administrator users with an active administrator and non-administrator account</t>
  </si>
  <si>
    <t>Count of authorized administrator users without an active administrator and non-administrator account</t>
  </si>
  <si>
    <t>M6 - M4</t>
  </si>
  <si>
    <t>Count of Users Identified as Administrators (Subset of GV22)</t>
  </si>
  <si>
    <t>The percentage of administrator users with both an administrator account and a non-administrator account.</t>
  </si>
  <si>
    <t>The percentage of unauthorized administrator accounts.</t>
  </si>
  <si>
    <t>M3 / (M1 + M3)</t>
  </si>
  <si>
    <t>Safeguard 5.04 Average Score</t>
  </si>
  <si>
    <t>If GV22 is not provided, Safeguard receives a "0" score</t>
  </si>
  <si>
    <t>Inventory of Service Accounts (GV23)</t>
  </si>
  <si>
    <t>Count of accounts in inventory</t>
  </si>
  <si>
    <t>Count of elements found in GV23</t>
  </si>
  <si>
    <t>Expected elements: department owner, review date, purpose</t>
  </si>
  <si>
    <t>Count of accounts in inventory with complete information</t>
  </si>
  <si>
    <t>Count of accounts in inventory with missing or incomplete information</t>
  </si>
  <si>
    <t>M2 - M4</t>
  </si>
  <si>
    <t>Count of current service accounts discovered</t>
  </si>
  <si>
    <t>Count of authorized accounts</t>
  </si>
  <si>
    <t>Count of unauthorized accounts</t>
  </si>
  <si>
    <t>Timeframe of last update in months</t>
  </si>
  <si>
    <t>The percentage of minimum elements included in the inventory.</t>
  </si>
  <si>
    <t>M3 / (M2 * 3)</t>
  </si>
  <si>
    <t>Safeguard 5.05 Final Score</t>
  </si>
  <si>
    <t>Count of centralized authentication points in the enterprise</t>
  </si>
  <si>
    <t>Count of unnecessary centralized authentication points</t>
  </si>
  <si>
    <t>Count of necessary centralized authentication points</t>
  </si>
  <si>
    <t>Percentage of properly centralized authentication points.</t>
  </si>
  <si>
    <t>Safeguard #.## Final Score</t>
  </si>
  <si>
    <t>Control 6: Access Control Management</t>
  </si>
  <si>
    <t>Enterprise process for granting access to enterprise assets (AD07)</t>
  </si>
  <si>
    <t>Includes process for granting access for new users (upon hire)</t>
  </si>
  <si>
    <t>Includes process for granting access for existing users</t>
  </si>
  <si>
    <t>The percentage of elements included in the access granting process</t>
  </si>
  <si>
    <t>SUM(M2.a,M2.b,M2.c) / 3</t>
  </si>
  <si>
    <t>Safeguard 6.01 Final Score</t>
  </si>
  <si>
    <t>If process not provided, Safeguard receives a "0" score</t>
  </si>
  <si>
    <t>Enterprise process for revoking access to enterprise assets (AD08)</t>
  </si>
  <si>
    <t>Includes process for revoking access for exising users (upon termination)</t>
  </si>
  <si>
    <t>Includes process for revoking access for existing users</t>
  </si>
  <si>
    <t>Safeguard 6.02 Final Score</t>
  </si>
  <si>
    <t>Count of accounts associated with externally exposed and third-party applications</t>
  </si>
  <si>
    <t>Using GV5 to identify and enumerate externally exposed and third-party applications and Inventory of Accounts (GV22), identify and enumerate all user accounts associated with the applications</t>
  </si>
  <si>
    <t>Count of accounts properly configured to require MFA</t>
  </si>
  <si>
    <t>Identify and enumerate accounts properly configured to require MFA</t>
  </si>
  <si>
    <t>Count of accounts not properly configured to require MFA</t>
  </si>
  <si>
    <t>Accounts not properly configured to require MFA</t>
  </si>
  <si>
    <t>The percentage of externally exposed and third-party application accounts properly configured for MFA</t>
  </si>
  <si>
    <t>Safeguard 6.03 Final Score</t>
  </si>
  <si>
    <t>Configuration Standards: MFA Mechanisms for Remote Access (GV03.h)</t>
  </si>
  <si>
    <t>The percentage of remote assets properly configured to require MFA</t>
  </si>
  <si>
    <t>Safeguard 6.04 Final Score</t>
  </si>
  <si>
    <t>If configuration standard not provided, Safeguard receives a "0" score.</t>
  </si>
  <si>
    <t>Configuration Standards: MFA Mechanisms for Admin Access (GV03.h)</t>
  </si>
  <si>
    <t>Enumerate all administrative accounts (local and domain)</t>
  </si>
  <si>
    <t>Count of administrative accounts properly configured to require MFA</t>
  </si>
  <si>
    <t>Count of administrative accounts not properly configured to require MFA</t>
  </si>
  <si>
    <t>The percentage of administrative accounts properly configured to require MFA</t>
  </si>
  <si>
    <t>Safeguard 6.05 Final Score</t>
  </si>
  <si>
    <t>Check if the enterprise maintains a GV23 Authentication and Authorization System Inventory of all on-site and remote service providers</t>
  </si>
  <si>
    <t>Count of authorized and properly inventoried systems</t>
  </si>
  <si>
    <t>Identify and enumerate systems that are authorized and currently in the inventory</t>
  </si>
  <si>
    <t>Count of authorized but not properly inventoried systems</t>
  </si>
  <si>
    <t>Identify and enumerate systems that are authorized and not currently in the inventory</t>
  </si>
  <si>
    <t>Count of unauthorized but inventoried systems</t>
  </si>
  <si>
    <t>Identify and enumerate systems that are not authorized but listed in the current inventory</t>
  </si>
  <si>
    <t>Count of systems in the current inventory Inventory of Authentication and Authorization Systems (GV23)</t>
  </si>
  <si>
    <t>Timeframe since the last update of the inventory</t>
  </si>
  <si>
    <t>What percentage of the authorized authentication and authorization systems are accounted for in the current enterprise inventory?</t>
  </si>
  <si>
    <t xml:space="preserve">	M2 / M5</t>
  </si>
  <si>
    <t>What percentage of unauthorized authentication and authorization systems are accounted for in the current enterprise inventory?</t>
  </si>
  <si>
    <t>M4 / M5</t>
  </si>
  <si>
    <t>Safeguard 6.06 Final Score</t>
  </si>
  <si>
    <t>Count of assets capable of supporting directory and/or SSO services</t>
  </si>
  <si>
    <t>Use Enterprise Asset Inventory (GV1) to identify and enumerate assets that support directory and SSO services</t>
  </si>
  <si>
    <t>Count of assets covered by at least one directory or SSO service</t>
  </si>
  <si>
    <t>Identify and enumerate assets that are covered by at least one directory or SSO service</t>
  </si>
  <si>
    <t>Count of assets not covered by at least one directory or SSO service</t>
  </si>
  <si>
    <t>Assets that are not covered by at least one directory or SSO service</t>
  </si>
  <si>
    <t>The percentage of assets that can support directory and SSO service covered by at least one directory or SSO service.</t>
  </si>
  <si>
    <t>Safeguard 6.07 Final Score</t>
  </si>
  <si>
    <t>Does a role-based access control process exist?</t>
  </si>
  <si>
    <t>"1" for yes, "0" for no</t>
  </si>
  <si>
    <t>Count of Inventory of Accounts (GV22)</t>
  </si>
  <si>
    <t>Count of accounts found in the inventory with assigned roles or groups</t>
  </si>
  <si>
    <t>Identify and enumerate accounts that are assigned a role or group</t>
  </si>
  <si>
    <t>Count of accounts found in the inventory not assigned a role or group</t>
  </si>
  <si>
    <t>Accounts that are not assigned a role or group</t>
  </si>
  <si>
    <t>Timeframe in months of the last review of the role-based access control process</t>
  </si>
  <si>
    <t>Compare the date of last validation of role-based access control to the current date and capture the timeframe in months</t>
  </si>
  <si>
    <t>The percentage of account inventory with a properly assigned role or group.</t>
  </si>
  <si>
    <t>Safeguard 6.08 Final Score</t>
  </si>
  <si>
    <t>Control 7: Continuous Vulnerability Management</t>
  </si>
  <si>
    <t>Enterprise Vulnerability Management Process (AD09)</t>
  </si>
  <si>
    <t>Count of months since date provided for AD09 and Assessment Date</t>
  </si>
  <si>
    <t>Vulnerability Management Process</t>
  </si>
  <si>
    <t>Safeguard 7.01 Final Score</t>
  </si>
  <si>
    <t>If process is not provided, Safeguard receives a "0" score | If M2&gt;[defined timeframe], Safeguard score is "0" or reduced</t>
  </si>
  <si>
    <t>Enterprise Vulnerability Remediation Process (AD10)</t>
  </si>
  <si>
    <t>Sum of elements included in the remediation process.</t>
  </si>
  <si>
    <t>The remediation process includes Sensitivity of Assets</t>
  </si>
  <si>
    <t>The remediation process includes Criticality of Assets</t>
  </si>
  <si>
    <t>The percentage of elements included in the process</t>
  </si>
  <si>
    <t>Configuration Standards: Automated Patch Management Software (GV03.f)</t>
  </si>
  <si>
    <t>Count of up-to-date operating systems installed on an asset</t>
  </si>
  <si>
    <t>Count of operating systems installed on an asset that is not up-to-date</t>
  </si>
  <si>
    <t>Count of not up-to-date operating systems with a documented exception</t>
  </si>
  <si>
    <t>Identify and enumerate operating systems with a documented exception</t>
  </si>
  <si>
    <t>Count of not up-to-date operating systems without a documented exception</t>
  </si>
  <si>
    <t>Operating systems without a documented exception: M3 - M4</t>
  </si>
  <si>
    <t>Count of authorized automated patch management software</t>
  </si>
  <si>
    <t xml:space="preserve">Use Authorized Software Inventory (GV5) to identify authorized automated patch management software </t>
  </si>
  <si>
    <t>Count of operating systems covered by at least one automated patch management software</t>
  </si>
  <si>
    <t>Identify and enumerate operating systems covered by at least one automated patch management software</t>
  </si>
  <si>
    <t>Count of operating systems not covered by at least one automated patch management software</t>
  </si>
  <si>
    <t>Operating systems not covered by at least one automated patch management software: M1 - M7</t>
  </si>
  <si>
    <t>Count of automated patch management software properly configured to run every 30 days or less</t>
  </si>
  <si>
    <t>Identify and enumerate those configured to run every 30 days or less</t>
  </si>
  <si>
    <t>M10</t>
  </si>
  <si>
    <t>Count of automated patch management software not properly configured to run every 30 days</t>
  </si>
  <si>
    <t>Software not configured to run every 30 days or les: M6 - M9</t>
  </si>
  <si>
    <t>The percent of operating systems that are up-to-date or have an exception</t>
  </si>
  <si>
    <t>The percent of operating systems covered by at least one automated patch management software</t>
  </si>
  <si>
    <t>M7 / M1</t>
  </si>
  <si>
    <t>The percent of automated patch management software configured to run every 30 days or less</t>
  </si>
  <si>
    <t>M9 / M6</t>
  </si>
  <si>
    <t>Safeguard 7.03 Final Score</t>
  </si>
  <si>
    <t>The percent of operating systems that are up-to-date or have an exception | If configuration standard is not provided, subscore is reduced</t>
  </si>
  <si>
    <t>Count of up-to-date applications installed on enterprise assets</t>
  </si>
  <si>
    <t>Count of applications installed on enterprise assets that are not up to date</t>
  </si>
  <si>
    <t>Count of not up to date applications with a documented exception</t>
  </si>
  <si>
    <t xml:space="preserve">Identify and enumerate applications with a documented exception </t>
  </si>
  <si>
    <t>Count of not up to date applications without a documented exception</t>
  </si>
  <si>
    <t>Applications without a documented exception: M3 - M4</t>
  </si>
  <si>
    <t>7.03 M6</t>
  </si>
  <si>
    <t>Count of applications covered by at least one automated patch management software</t>
  </si>
  <si>
    <t>Identify and enumerate applications covered by at least one automated patch management software</t>
  </si>
  <si>
    <t>Count of applications not covered by at least one automated patch management software</t>
  </si>
  <si>
    <t>Applications not covered by at least one automated patch management software: M1 - M7</t>
  </si>
  <si>
    <t>Count of automated patch management software properly configured to run every 1 month or less</t>
  </si>
  <si>
    <t>Identify and enumerate those configured to run every 30 days or less: 7.03 M9</t>
  </si>
  <si>
    <t>Count of automated patch management software not properly configured to run every 1 month</t>
  </si>
  <si>
    <t>Software not configured to run every 30 days or less: 7.03 M10</t>
  </si>
  <si>
    <t>The percent of applications on an asset that are up to date</t>
  </si>
  <si>
    <t>The percent of automated patch management software configured to run every 1 month or less</t>
  </si>
  <si>
    <t>Safeguard 7.04 Final Score</t>
  </si>
  <si>
    <t>The percent of applications that are up-to-date or have an exception | If configuration standard is not provided, subscore is reduced</t>
  </si>
  <si>
    <t>Configuration Standards: Vulnerability Scanners / Scanning Software (GV03.g)</t>
  </si>
  <si>
    <t>Count of authorized vulnerability scanning software</t>
  </si>
  <si>
    <t xml:space="preserve">Identify and enumerate GV25 vulnerability scanning software </t>
  </si>
  <si>
    <t>Count of authorized authenticated vulnerability scanning software</t>
  </si>
  <si>
    <t>Identify and enumerate authenticated vulnerability scanning software</t>
  </si>
  <si>
    <t>Count of internal enterprise assets</t>
  </si>
  <si>
    <t>Use the GV1 enterprise asset inventory to identify and enumerate all internal assets</t>
  </si>
  <si>
    <t>Count of internal assets covered by a vulnerability scanner</t>
  </si>
  <si>
    <t xml:space="preserve">Identify and enumerate internal assets covered by at least one vulnerability scanning software </t>
  </si>
  <si>
    <t>Count of internal assets not covered by a vulnerability scanner</t>
  </si>
  <si>
    <t>Internal assets not covered by at least one vulnerability scanning software: M3 - M4</t>
  </si>
  <si>
    <t>Count of internal assets covered by an authenticated vulnerability scanner</t>
  </si>
  <si>
    <t>Identify and enumerate internal assets covered by at least one authenticated vulnerability scanner</t>
  </si>
  <si>
    <t>Count of internal assets not covered by an authenticated vulnerability scanner</t>
  </si>
  <si>
    <t>Internal assets not covered by at least one authenticated vulnerability scanner: M3 - M6</t>
  </si>
  <si>
    <t>Count of vulnerability scanners properly configured to run every 1 month or less</t>
  </si>
  <si>
    <t>Identify and enumerate vulnerability scanners properly configured to scan every 3 months or less</t>
  </si>
  <si>
    <t>Count of vulnerability scanners not properly configured to run every 1 month or less</t>
  </si>
  <si>
    <t>Vulnerability scanners not properly configured to scan every 3 months or less: M1 - M8</t>
  </si>
  <si>
    <t>Count of authenticated vulnerability scanners properly configured to run every 1 month or less</t>
  </si>
  <si>
    <t>Identify and enumerate authenticated vulnerability scanners properly configured to scan every 3 months or less</t>
  </si>
  <si>
    <t>M11</t>
  </si>
  <si>
    <t>Count of authenticated vulnerability scanners not properly configured to run every 1 month or less</t>
  </si>
  <si>
    <t>Authenticated vulnerability scanners not properly configured to scan every 3 months or less: M1 - M10</t>
  </si>
  <si>
    <t>The percentage of internal assets covered by a vulnerability scanner</t>
  </si>
  <si>
    <t>The percentage of internal assets covered by an authenticated vulnerability scanner</t>
  </si>
  <si>
    <t>The percentage of vulnerability scanners properly configured to scan every 1 month or less</t>
  </si>
  <si>
    <t>M8 / M1</t>
  </si>
  <si>
    <t>The percentage of authenticated vulnerability scanners properly configured to scan every 1 month or less</t>
  </si>
  <si>
    <t>M10 / M2</t>
  </si>
  <si>
    <t>Safeguard 7.05 Final Score</t>
  </si>
  <si>
    <t>AVERAGE(M4/M3,M6/M3) | If configuration standard for vulnerability scanners is not provided, subscore is reduced</t>
  </si>
  <si>
    <t>Count of external enterprise assets</t>
  </si>
  <si>
    <t>Use the GV1 enterprise asset inventory to identify and enumerate all external assets</t>
  </si>
  <si>
    <t>Count of external assets covered by a vulnerability scanner</t>
  </si>
  <si>
    <t xml:space="preserve">Identify and enumerate external assets covered by at least one vulnerability scanning software </t>
  </si>
  <si>
    <t>Count of external assets not covered by a vulnerability scanner</t>
  </si>
  <si>
    <t>External assets not covered by at least one vulnerability scanning software: M2-M3</t>
  </si>
  <si>
    <t>Identify and enumerate vulnerability scanners properly configured to scan every 30 days or less</t>
  </si>
  <si>
    <t>Vulnerability scanners not properly configured to scan every 30 days or less: M1-M5</t>
  </si>
  <si>
    <t>The percentage of external assets covered by a vulnerability scanner</t>
  </si>
  <si>
    <t>M3/M2</t>
  </si>
  <si>
    <t>M5/M1</t>
  </si>
  <si>
    <t>Safeguard 7.06 Final Score</t>
  </si>
  <si>
    <t>The percentage of external assets covered by a vulnerability scanner | If configuration standard for vulnerability scanners is not provided, subscore is reduced</t>
  </si>
  <si>
    <t>Count of vulnerabilities identified in Previous vulnerability scan</t>
  </si>
  <si>
    <t>Assumptions: Asset-vulnerability combinations not found in the most recent scan are indicative of remediation of that vulnerability on that asset</t>
  </si>
  <si>
    <t>Count of unremediated vulnerabilities</t>
  </si>
  <si>
    <t>Identify and enumerate assets listed with the same vulnerability on both scans</t>
  </si>
  <si>
    <t>Count of remediated vulnerabilities</t>
  </si>
  <si>
    <t>Assets previously found in Input 3 that are no longer listed in Input 2 with the same vulnerability</t>
  </si>
  <si>
    <t>Timeframe in between scans</t>
  </si>
  <si>
    <t>Compare Date of current vulnerability scan and Date of the previous vulnerability scan and capture the timeframe between scans in days</t>
  </si>
  <si>
    <t>The percentage of remediated vulnerabilities</t>
  </si>
  <si>
    <t>Safeguard 7.07 Final Score</t>
  </si>
  <si>
    <t>Control 8: Audit Log Management</t>
  </si>
  <si>
    <t>Audit Log Management Process (GV26)</t>
  </si>
  <si>
    <t>Process includes the collection of Auditable Events</t>
  </si>
  <si>
    <t>Process includes the review of of Auditable Events / Audit Records</t>
  </si>
  <si>
    <t>Process includes the retention of Audit Records</t>
  </si>
  <si>
    <t>Timeframe since the last review of the audit log management process</t>
  </si>
  <si>
    <t>Count of months since last review of Process</t>
  </si>
  <si>
    <t>The percentage of elements included in the audit log</t>
  </si>
  <si>
    <t>M2 / 3</t>
  </si>
  <si>
    <t>Safeguard 8.01 Final Score</t>
  </si>
  <si>
    <t>If GV26 is not provided, Safeguard receives a "0" score | If M9&gt;[defined timeframe] Safeguard score is "0" or reduced</t>
  </si>
  <si>
    <t>Sample count of assets capable of supporting logging</t>
  </si>
  <si>
    <t>Count of properly configured assets to log events per CIS L1 benchmark</t>
  </si>
  <si>
    <t>Ensure 'Windows Firewall: Domain: Logging: Name' is set to '%SystemRoot%\System32\logfiles\firewall\domainfw.log'</t>
  </si>
  <si>
    <t>"1" if yes, "0" if no | HKLM\SOFTWARE\Policies\Microsoft\WindowsFirewall\DomainProfile\Logging:LogFilePath</t>
  </si>
  <si>
    <t>Ensure 'Windows Firewall: Private: Logging: Name' is set to '%SystemRoot%\System32\logfiles\firewall\privatefw.log'</t>
  </si>
  <si>
    <t>"1" if yes, "0" if no | HKLM\SOFTWARE\Policies\Microsoft\WindowsFirewall\PrivateProfile\Logging:LogFilePath</t>
  </si>
  <si>
    <t>Ensure 'Windows Firewall: Public: Logging: Name' is set to '%SystemRoot%\System32\logfiles\firewall\publicfw.log'</t>
  </si>
  <si>
    <t>"1" if yes, "0" if no | HKLM\SOFTWARE\Policies\Microsoft\WindowsFirewall\PublicProfile\Logging:LogFilePath</t>
  </si>
  <si>
    <t>Count of assets not properly configured to log events per the audit log management process</t>
  </si>
  <si>
    <t>The ratio of logging-capable assets properly configured per the audit log management process.</t>
  </si>
  <si>
    <t>Safeguard 8.02 Final Score</t>
  </si>
  <si>
    <t>If M2= 0, Manual GPO Score = SUM(M2) / 3</t>
  </si>
  <si>
    <t>Count of assets with properly configured (CIS L1) retention requirements</t>
  </si>
  <si>
    <t>Ensure 'Windows Firewall: Domain: Logging: Size limit (KB)' is set to '16,384 KB or greater'</t>
  </si>
  <si>
    <t>"1" if yes, "0" if no | HKLM\SOFTWARE\Policies\Microsoft\WindowsFirewall\DomainProfile\Logging:LogFileSize</t>
  </si>
  <si>
    <t>Ensure 'Windows Firewall: Private: Logging: Size limit (KB)' is set to '16,384 KB or greater'</t>
  </si>
  <si>
    <t>"1" if yes, "0" if no | HKLM\SOFTWARE\Policies\Microsoft\WindowsFirewall\PrivateProfile\Logging:LogFileSize</t>
  </si>
  <si>
    <t>Ensure 'Windows Firewall: Public: Logging: Size limit (KB)' is set to '16,384 KB or greater'</t>
  </si>
  <si>
    <t>"1" if yes, "0" if no | HKLM\SOFTWARE\Policies\Microsoft\WindowsFirewall\PublicProfile\Logging:LogFileSize</t>
  </si>
  <si>
    <t>Ensure 'Application: Specify the maximum log file size (KB)' is set to 'Enabled: 32,768 or greater'</t>
  </si>
  <si>
    <t>"1" if yes, "0" if no | HKLM\SOFTWARE\Policies\Microsoft\Windows\EventLog\Application:MaxSize</t>
  </si>
  <si>
    <t>Ensure 'Security: Specify the maximum log file size (KB)' is set to 'Enabled: 196,608 or greater'</t>
  </si>
  <si>
    <t>"1" if yes, "0" if no | HKLM\SOFTWARE\Policies\Microsoft\Windows\EventLog\Security:MaxSize</t>
  </si>
  <si>
    <t>Ensure 'Setup: Specify the maximum log file size (KB)' is set to 'Enabled: 32,768 or greater'</t>
  </si>
  <si>
    <t>"1" if yes, "0" if no | HKLM\SOFTWARE\Policies\Microsoft\Windows\EventLog\Setup:MaxSize</t>
  </si>
  <si>
    <t>Ensure 'System: Specify the maximum log file size (KB)' is set to 'Enabled: 32,768 or greater'</t>
  </si>
  <si>
    <t>"1" if yes, "0" if no | HKLM\SOFTWARE\Policies\Microsoft\Windows\EventLog\System:MaxSize</t>
  </si>
  <si>
    <t>Count of assets not properly configured to meet retention requirements</t>
  </si>
  <si>
    <t>The percentage of assets compliant with the organization's logging policy</t>
  </si>
  <si>
    <t>Safeguard 8.03 Final Score</t>
  </si>
  <si>
    <t>IF M2=0, Manual GPO Score = SUM(M2) / 7</t>
  </si>
  <si>
    <t>Sample count of logging-capable assets that support time synchronization</t>
  </si>
  <si>
    <t>Count of properly configured assets using at least two approved time sources</t>
  </si>
  <si>
    <t>Count of assets configured using non-approved time sources</t>
  </si>
  <si>
    <t>Count of assets not configured to use time sources</t>
  </si>
  <si>
    <t>M1 - (M2 + M3)</t>
  </si>
  <si>
    <t>The percentage of assets properly configured with at least two approved synchronized time sources</t>
  </si>
  <si>
    <t>Safeguard 8.04 Final Score</t>
  </si>
  <si>
    <t>Count of detailed logging requirements included in the log management process</t>
  </si>
  <si>
    <t>Expected elements: event source, date, username, timestamp, source addresses, and destination addresses.</t>
  </si>
  <si>
    <t>Count of assets properly configured to collect detailed logs per CIS L1 benchmark</t>
  </si>
  <si>
    <t>Ensure 'Audit Credential Validation' is set to 'Success and Failure'</t>
  </si>
  <si>
    <t>"1" if yes, "0" if no | Audit Policy\ Account Logon\ Credential Validation</t>
  </si>
  <si>
    <t>Ensure 'Audit Application Group Management' is set to 'Success and Failure'</t>
  </si>
  <si>
    <t>"1" if yes, "0" if no | Audit Policy\ Account Management\ Application Group Management</t>
  </si>
  <si>
    <t>Ensure 'Audit Security Group Management' is set to include 'Success'</t>
  </si>
  <si>
    <t>"1" if yes, "0" if no | Audit Policy\ Account Management\ Security Group Management</t>
  </si>
  <si>
    <t>Ensure 'Audit User Account Management' is set to 'Success and Failure'</t>
  </si>
  <si>
    <t>"1" if yes, "0" if no | Audit Policy\ Account Management\ User Account Management</t>
  </si>
  <si>
    <t>M3.e</t>
  </si>
  <si>
    <t>Ensure 'Audit Account Lockout' is set to include 'Failure'</t>
  </si>
  <si>
    <t>"1" if yes, "0" if no | Audit Policy\ Logon/Logoff\ Account Lockout</t>
  </si>
  <si>
    <t>M3.f</t>
  </si>
  <si>
    <t>Ensure 'Audit Group Membership' is set to include 'Success'</t>
  </si>
  <si>
    <t>"1" if yes, "0" if no | Audit Policy\ Logon/Logoff\ Group Membership</t>
  </si>
  <si>
    <t>M3.g</t>
  </si>
  <si>
    <t>Ensure 'Audit Logoff' is set to include 'Success'</t>
  </si>
  <si>
    <t>"1" if yes, "0" if no | Audit Policy\ Logon/Logoff\ Logoff</t>
  </si>
  <si>
    <t>M3.h</t>
  </si>
  <si>
    <t>Ensure 'Audit Logon' is set to 'Success and Failure'</t>
  </si>
  <si>
    <t>"1" if yes, "0" if no | Audit Policy\ Logon/Logoff\ Logon</t>
  </si>
  <si>
    <t>M3.i</t>
  </si>
  <si>
    <t>Ensure 'Audit Other Logon/Logoff Events' is set to 'Success and Failure'</t>
  </si>
  <si>
    <t>"1" if yes, "0" if no | Audit Policy\ Logon/Logoff\ Other Logon/Logoff Events</t>
  </si>
  <si>
    <t>M3.j</t>
  </si>
  <si>
    <t>Ensure 'Audit Detailed File Share' is set to include 'Failure'</t>
  </si>
  <si>
    <t>"1" if yes, "0" if no | Audit Policy\ Object Access\ Detailed File Share</t>
  </si>
  <si>
    <t>M3.k</t>
  </si>
  <si>
    <t>Ensure 'Audit File Share' is set to 'Success and Failure'</t>
  </si>
  <si>
    <t>"1" if yes, "0" if no | Audit Policy\ Object Access\ File Share</t>
  </si>
  <si>
    <t>M3.l</t>
  </si>
  <si>
    <t>Ensure 'Audit Other Object Access Events' is set to 'Success and Failure'</t>
  </si>
  <si>
    <t>"1" if yes, "0" if no | Audit Policy\ Object Access\ Other Object Access Events</t>
  </si>
  <si>
    <t>M3.m</t>
  </si>
  <si>
    <t>Ensure 'Audit Removable Storage' is set to 'Success and Failure'</t>
  </si>
  <si>
    <t>"1" if yes, "0" if no | Audit Policy\ Object Access\ Removable Storage</t>
  </si>
  <si>
    <t>M3.n</t>
  </si>
  <si>
    <t>Ensure 'Audit Audit Policy Change' is set to include 'Success'</t>
  </si>
  <si>
    <t>"1" if yes, "0" if no | Audit Policy\ Policy Change\ Audit Policy Change</t>
  </si>
  <si>
    <t>M3.o</t>
  </si>
  <si>
    <t>Ensure 'Audit Authentication Policy Change' is set to include 'Success'</t>
  </si>
  <si>
    <t>"1" if yes, "0" if no | Audit Policy\ Policy Change\ Authentication Policy Change</t>
  </si>
  <si>
    <t>M3.p</t>
  </si>
  <si>
    <t>Ensure 'Audit Authorization Policy Change' is set to include 'Success'</t>
  </si>
  <si>
    <t>"1" if yes, "0" if no | Audit Policy\ Policy Change\ Authorization Policy Change</t>
  </si>
  <si>
    <t>M3.q</t>
  </si>
  <si>
    <t>Ensure 'Audit MPSSVC Rule-Level Policy Change' is set to 'Success and Failure'</t>
  </si>
  <si>
    <t>"1" if yes, "0" if no | Audit Policy\ Policy Change\ MPSSVC Rule-Level Policy Change</t>
  </si>
  <si>
    <t>M3.r</t>
  </si>
  <si>
    <t>Ensure 'Audit Other Policy Change Events' is set to include 'Failure'</t>
  </si>
  <si>
    <t>"1" if yes, "0" if no | Audit Policy\ Policy Change\ Other Policy Change Events</t>
  </si>
  <si>
    <t>M3.s</t>
  </si>
  <si>
    <t>Ensure 'Audit Sensitive Privilege Use' is set to 'Success and Failure'</t>
  </si>
  <si>
    <t>"1" if yes, "0" if no | Audit Policy\ Privilege Use\ Sensitive Privilege Use</t>
  </si>
  <si>
    <t>M3.t</t>
  </si>
  <si>
    <t>Ensure 'Audit IPsec Driver' is set to 'Success and Failure'</t>
  </si>
  <si>
    <t>"1" if yes, "0" if no | Audit Policy\ System\ IPsec Driver</t>
  </si>
  <si>
    <t>M3.u</t>
  </si>
  <si>
    <t>Ensure 'Audit Other System Events' is set to 'Success and Failure'</t>
  </si>
  <si>
    <t>"1" if yes, "0" if no | Audit Policy\ System\ Other System Events</t>
  </si>
  <si>
    <t>M3.v</t>
  </si>
  <si>
    <t>Ensure 'Audit Security State Change' is set to include 'Success'</t>
  </si>
  <si>
    <t>"1" if yes, "0" if no | Audit Policy\ System\ Security State Change</t>
  </si>
  <si>
    <t>M3.w</t>
  </si>
  <si>
    <t>Ensure 'Audit Security System Extension' is set to include 'Success'</t>
  </si>
  <si>
    <t>"1" if yes, "0" if no | Audit Policy\ System\ Security System Extension</t>
  </si>
  <si>
    <t>M3.x</t>
  </si>
  <si>
    <t>Ensure 'Audit System Integrity' is set to 'Success and Failure'</t>
  </si>
  <si>
    <t>"1" if yes, "0" if no | Audit Policy\ System\ System Integrity</t>
  </si>
  <si>
    <t>Count of assets not properly configured to collect detailed logs</t>
  </si>
  <si>
    <t>The percentage of detailed logging requirements included in the logging management process</t>
  </si>
  <si>
    <t>M2 / 6</t>
  </si>
  <si>
    <t>The percentage of assets properly configured to collect detailed logs</t>
  </si>
  <si>
    <t>Safeguard 8.05 Final Score</t>
  </si>
  <si>
    <t>IF M3=0, Manual GPO Score = SUM(M3) / 24</t>
  </si>
  <si>
    <t>Count of internal DNS servers</t>
  </si>
  <si>
    <t>Use Enterprise Asset Inventory (GV1) to identify and enumerate internal DNS Servers</t>
  </si>
  <si>
    <t>Count of properly configured DNS servers</t>
  </si>
  <si>
    <t>Identify and enumerate DNS servers properly configured to collect logs</t>
  </si>
  <si>
    <t>Count of DNS servers not properly configured DNS servers</t>
  </si>
  <si>
    <t>DNS servers not properly configured to collect logs</t>
  </si>
  <si>
    <t>The percentage of properly configured DNS servers to meet logging requirements</t>
  </si>
  <si>
    <t>Safeguard 8.06 Final Score</t>
  </si>
  <si>
    <t>Sample count of assets capable of supporting URL logging</t>
  </si>
  <si>
    <t>Use Enterprise Asset Inventory (GV1) to identify and enumerate assets that support URL logging</t>
  </si>
  <si>
    <t>Count of assets properly configured for URL logging</t>
  </si>
  <si>
    <t>Identify and enumerate assets properly configured for logging</t>
  </si>
  <si>
    <t>Count of assets not properly configured for URL logging</t>
  </si>
  <si>
    <t>Assets not properly configured for logging</t>
  </si>
  <si>
    <t>The percentage of assets properly configured for URL logging</t>
  </si>
  <si>
    <t>Safeguard 8.07 Final Score</t>
  </si>
  <si>
    <t>Sample count of assets capable of supporting command-line auditing of command shells</t>
  </si>
  <si>
    <t>Use Enterprise Asset Inventory (GV1) to identify and enumerate assets that support command-line auditing of command shells</t>
  </si>
  <si>
    <t>Count of assets properly configured for command-line auditing of command shells</t>
  </si>
  <si>
    <t>Identify and enumerate assets properly configured</t>
  </si>
  <si>
    <t>Count of assets not properly configured for command-line auditing of command shells</t>
  </si>
  <si>
    <t>Assets not properly configured</t>
  </si>
  <si>
    <t>The percentage of assets properly configured for command-line auditing of command shells</t>
  </si>
  <si>
    <t>Safeguard 8.08 Final Score</t>
  </si>
  <si>
    <t>Count of assets covered by at least one aggregating software</t>
  </si>
  <si>
    <t>Count of assets not covered by at least one aggregating software</t>
  </si>
  <si>
    <t>The percentage of log-producing assets covered by aggregating software</t>
  </si>
  <si>
    <t>Safeguard 8.09 Final Score</t>
  </si>
  <si>
    <t>Count of log aggregating software</t>
  </si>
  <si>
    <t>Count of aggregating software properly configured to retain logs for 90 days or more</t>
  </si>
  <si>
    <t>Count of aggregating software configured to retain logs for less than 90 days</t>
  </si>
  <si>
    <t>The percentage of aggregating software properly configured to retain logs for 90 days or more</t>
  </si>
  <si>
    <t>Safeguard 8.10 Final Score</t>
  </si>
  <si>
    <t>Most recent Audit Log review</t>
  </si>
  <si>
    <t>M1.b</t>
  </si>
  <si>
    <t>Second-most recent Audit Log review</t>
  </si>
  <si>
    <t>Elapsed time (in days) between Audit Log reviews</t>
  </si>
  <si>
    <t>Safeguard 8.11 Final Score</t>
  </si>
  <si>
    <t>Sample count of service providers that support logging</t>
  </si>
  <si>
    <t>For each service provided in Inventory of Service Providers (GV29) identify and enumerate service providers that support logging</t>
  </si>
  <si>
    <t>Count of service providers configured to collect logs</t>
  </si>
  <si>
    <t>Identify and enumerate service providers properly configured to collect logs</t>
  </si>
  <si>
    <t>Count of service providers not configured to collect logs</t>
  </si>
  <si>
    <t>Service providers not properly configured to collect logs</t>
  </si>
  <si>
    <t>The percentage of service providers properly configured to collect logs</t>
  </si>
  <si>
    <t>Safeguard 8.12 Final Score</t>
  </si>
  <si>
    <t>Control 9: Email and Web Browser Protections</t>
  </si>
  <si>
    <t>Count of authorized web browser and email client software</t>
  </si>
  <si>
    <t>Count of authorized software labeled as "supported" and currently supported</t>
  </si>
  <si>
    <t>Identify and enumerate software labeled as "supported" that is currently supported</t>
  </si>
  <si>
    <t>Count of authorized software labeled as "supported" and currently unsupported</t>
  </si>
  <si>
    <t>Identify and enumerate software labeled as "supported" that is currently unsupported</t>
  </si>
  <si>
    <t>Count of authorized software labeled as "unsupported" and currently supported</t>
  </si>
  <si>
    <t>Identify and enumerate software labeled as "unsupported" that is currently unsupported</t>
  </si>
  <si>
    <t>Count of authorized software labeled as "unsupported" and currently unsupported</t>
  </si>
  <si>
    <t>Identify and enumerate software labeled as "unsupported" that is currently supported</t>
  </si>
  <si>
    <t>The percentage of unsupported web browser and email client software in use</t>
  </si>
  <si>
    <t>(M3 + M4) / M1</t>
  </si>
  <si>
    <t>The percentage of authorized web browser and email client software labeled as "supported" but found to be unsupported</t>
  </si>
  <si>
    <t>M3 / (M2 + M3)</t>
  </si>
  <si>
    <t>The percentage of authorized web browser and email client software labeled as "unsupported" but found to be supported</t>
  </si>
  <si>
    <t>M5 / (M4 + M5)</t>
  </si>
  <si>
    <t>Safeguard 9.01 Final Score</t>
  </si>
  <si>
    <t>AVERAGE(% Supported, % Correctly Identified)</t>
  </si>
  <si>
    <t>identify and enumerate assets that support DNS filtering</t>
  </si>
  <si>
    <t>The percentage of assets configured to use authorized DNS filtering services</t>
  </si>
  <si>
    <t>Safeguard 9.02 Final Score</t>
  </si>
  <si>
    <t>Count of enterprise assets (GV1) capable of supporting network-based URL filters</t>
  </si>
  <si>
    <t>Use GV1 to identify and enumerate enterprise assets capable of supporting network-based URL filters</t>
  </si>
  <si>
    <t>Count of assets properly configured to support network-based URL filters</t>
  </si>
  <si>
    <t>For each asset identified in Operation 1 check to see if it is configured properly GV3 to support authorized web browsers/clients from Operation 2
Identify and enumerate assets properly configured</t>
  </si>
  <si>
    <t>Count of assets not properly configured to support network-based URL filters</t>
  </si>
  <si>
    <t>For each asset identified in Operation 1 check to see if it is configured properly GV3 to support authorized web browsers/clients from Operation 2
Identify and enumerate assets not properly configured</t>
  </si>
  <si>
    <t>The percentage of assets configured to use authorized network-based URL filters</t>
  </si>
  <si>
    <t>Safeguard 9.03 Final Score</t>
  </si>
  <si>
    <t>Count of assets subject to browser/email plugin restrictions</t>
  </si>
  <si>
    <t>Identify and enumerate assets subject to browser/email plugin restrictions from GV1</t>
  </si>
  <si>
    <t>Count of assets with only authorized browser plugins installed or enabled</t>
  </si>
  <si>
    <t>For each asset listed in Operation 1, collect the list of installed browser plugins and compare to the output of Operation 2
Identify and enumerate assets with only authorized browser plugins installed or enabled</t>
  </si>
  <si>
    <t>Count of assets with unauthorized browser plugins installed or enabled</t>
  </si>
  <si>
    <t>For each asset listed in Operation 1, collect the list of installed browser plugins and compare to the output of Operation 2
Identify and enumerate assets with one or more unauthorized browser plugins installed or enabled (M3)</t>
  </si>
  <si>
    <t>Count of assets with only authorized email plugins installed or enabled</t>
  </si>
  <si>
    <t>Identify and enumerate assets with only authorized email plugins installed or enabled</t>
  </si>
  <si>
    <t>Count of assets with unauthorized email plugins installed or enabled</t>
  </si>
  <si>
    <t>Identify and enumerate assets with one or more unauthorized browser plugins installed or enabled</t>
  </si>
  <si>
    <t>The percentage of assets compliant with authorized browser plugins</t>
  </si>
  <si>
    <t>The percentage of assets compliant with authorized email plugins</t>
  </si>
  <si>
    <t>Safeguard 9.04 Final Score</t>
  </si>
  <si>
    <t>AVERAGE(%browser plugins, %email plugins)</t>
  </si>
  <si>
    <t>Check if enterprise has a DMARC policy</t>
  </si>
  <si>
    <t>"1" if yes, "0" if no.</t>
  </si>
  <si>
    <t>Examine TXT record published in DNS for a value indicative of the use of DMARC</t>
  </si>
  <si>
    <t>Examine TXT record published in DNS for a value indicative of the use of SPF</t>
  </si>
  <si>
    <t>Examine TXT record published in DNS for a value indicative of the use of DKIM</t>
  </si>
  <si>
    <t>Agency uses a Mail Transfer Agent</t>
  </si>
  <si>
    <t>Agency uses a Mail User Agent</t>
  </si>
  <si>
    <t>Usage and configuration of DMARC/SPF/DKIM</t>
  </si>
  <si>
    <t>(M1 + M2 + M3 + M4 + M5 + M6) / 6</t>
  </si>
  <si>
    <t>Safeguard 9.05 Final Score</t>
  </si>
  <si>
    <t>Count of email gateways</t>
  </si>
  <si>
    <t>Use Enterprise Asset Inventory to identify and enumerate assets configured as email gateways</t>
  </si>
  <si>
    <t>Count of properly configured email gateways</t>
  </si>
  <si>
    <t>Identify and enumerate email gateways properly configured to block unnecessary attachments</t>
  </si>
  <si>
    <t>Count of improperly configured email gateways</t>
  </si>
  <si>
    <t>Identify and enumerate email gateways not properly configured to block unnecessary attachments</t>
  </si>
  <si>
    <t>The percentage of properly configured email gateways</t>
  </si>
  <si>
    <t>Safeguard 9.06 Final Score</t>
  </si>
  <si>
    <t>Count of email servers</t>
  </si>
  <si>
    <t>Use Enterprise Asset Inventory to identify and enumerate all email servers within the enterprise</t>
  </si>
  <si>
    <t>Count of properly configured email servers</t>
  </si>
  <si>
    <t>Identify and enumerate email servers with configured anti-malware protection</t>
  </si>
  <si>
    <t>Count of improperly configured email servers</t>
  </si>
  <si>
    <t>Identify and enumerate email servers without configured anti-malware protection</t>
  </si>
  <si>
    <t>The percentage of properly configured email servers</t>
  </si>
  <si>
    <t>Safeguard 9.07 Final Score</t>
  </si>
  <si>
    <t>Control 10: Malware Defenses</t>
  </si>
  <si>
    <t>Count of assets capable of supporting anti-malware software</t>
  </si>
  <si>
    <t>Use Enterprise Asset Inventory (GV01) to identify and enumerate assets capable of supporting anti-malware software.  Tenable  can be filtered by Plugin ID 16193 Antivirus Software Check</t>
  </si>
  <si>
    <t>Count of assets with at least one authorized anti-malware software installed</t>
  </si>
  <si>
    <t>Identify and enumerate assets with at least one authorized anti-malware software installed: GV32</t>
  </si>
  <si>
    <t>Count of assets with only unauthorized anti-malware software installed</t>
  </si>
  <si>
    <t>Identify and enumerate assets with only unauthorized anti-malware software installed</t>
  </si>
  <si>
    <t>Count of assets without any anti-malware software installed</t>
  </si>
  <si>
    <t>Assets without any anti-malware software installed: M1 - (M2 + M3)</t>
  </si>
  <si>
    <t>Count of assets with properly configured authorized anti-malware software installed</t>
  </si>
  <si>
    <t>Identify and enumerate assets with properly configured anti-malware software</t>
  </si>
  <si>
    <t>Count of assets with improperly configured authorized anti-malware software installed</t>
  </si>
  <si>
    <t>Assets with improperly configured anti-malware software: M2 - M5</t>
  </si>
  <si>
    <t>The percentage of assets with properly configured authorized anti-malware installed</t>
  </si>
  <si>
    <t>M5 / M1</t>
  </si>
  <si>
    <t>Safeguard 10.01 Final Score</t>
  </si>
  <si>
    <t>10.01 M1</t>
  </si>
  <si>
    <t>Count of assets configured to automatically update signature files</t>
  </si>
  <si>
    <t>Identify and enumerate assets properly configured for automatic updates.  Tenable:11936 filter to Windows machines only; 131023 looks for Defender; 16193 looks for Anti-Virus; 103569 timestamp that looks for out of date</t>
  </si>
  <si>
    <t>Count of assets not configured to automatically update signature files</t>
  </si>
  <si>
    <t>Assets not properly configured for automatic updates: M1 - M2</t>
  </si>
  <si>
    <t>The percentage of assets properly configured to automatically update signature files</t>
  </si>
  <si>
    <t>Safeguard 10.02 Final Score</t>
  </si>
  <si>
    <t>Count of assets capable of performing autorun, autoplay, and auto-execute functions</t>
  </si>
  <si>
    <t>Identify and enumerate properly configured assets</t>
  </si>
  <si>
    <t>The percentage of assets properly configured to disable autorun, autoplay, and auto-execute functions</t>
  </si>
  <si>
    <t>Safeguard 10.03 Final Score</t>
  </si>
  <si>
    <t>Count of assets with anti-malware properly configured to scan removable media</t>
  </si>
  <si>
    <t>Identify and enumerate assets with properly configured software</t>
  </si>
  <si>
    <t>Count of assets with anti-malware not properly configured to scan removable media</t>
  </si>
  <si>
    <t>Assets with improperly configured software: M1 - M2</t>
  </si>
  <si>
    <t>The percentage of assets with properly configured software to automatically scan removable media</t>
  </si>
  <si>
    <t>Safeguard 10.04 Final Score</t>
  </si>
  <si>
    <t>Count of assets capable of supporting anti-malware software from 10.01 (M1)</t>
  </si>
  <si>
    <t>Assets Capable of Supporting Anti-Malware Software</t>
  </si>
  <si>
    <t>Count of assets properly configured to enable anti-exploitation features</t>
  </si>
  <si>
    <t>Identify and enumerate assets properly configured to enable anti-exploitation features</t>
  </si>
  <si>
    <t>Count of assets not properly configured to enable anti-exploitation features</t>
  </si>
  <si>
    <t>Assets not properly configured to enable anti-exploitation features: M1 - M2</t>
  </si>
  <si>
    <t>The percentage of assets properly configured to enable anti-exploitation features</t>
  </si>
  <si>
    <t>Safeguard 10.05 Final Score</t>
  </si>
  <si>
    <t>Count of Authorized anti-malware software on the Authorized Software Inventory</t>
  </si>
  <si>
    <t>Use Authorized Software Inventory (GV5) to identify authorized anti-malware software</t>
  </si>
  <si>
    <t>Count of authorized anti-malware software that is centrally managed</t>
  </si>
  <si>
    <t>Identify and enumerate anti-malware software that is centrally managed</t>
  </si>
  <si>
    <t>Count of authorized anti-malware software that is not centrally managed</t>
  </si>
  <si>
    <t>Anti-malware software that is not centrally managed: M1 - M2</t>
  </si>
  <si>
    <t>The percentage of anti-malware centrally managed</t>
  </si>
  <si>
    <t>Safeguard 10.06 Final Score</t>
  </si>
  <si>
    <t>Count of assets capable of supporting behavior-based anti-malware software</t>
  </si>
  <si>
    <t>Use Enterprise Asset Inventory (GV1) to identify and enumerate assets capable of supporting behavior-based anti-malware software</t>
  </si>
  <si>
    <t>Count of assets with at least one authorized behavior-based anti-malware software installed</t>
  </si>
  <si>
    <t>Identify and enumerate assets with at least one authorized behavior-based anti-malware software installed</t>
  </si>
  <si>
    <t>Count of assets without any behavior-based anti-malware software installed</t>
  </si>
  <si>
    <t>Assets without any behavior-based anti-malware software installed: M1 - M2</t>
  </si>
  <si>
    <t>Count of assets with properly configured authorized behavior-based anti-malware software installed</t>
  </si>
  <si>
    <t>Identify and enumerate assets with properly configured behavior-based anti-malware software</t>
  </si>
  <si>
    <t>Count of assets with improperly configured authorized behavior-based anti-malware software installed</t>
  </si>
  <si>
    <t>Assets with improperly configured authorized behavior-based anti-malware software installed: M1 - M4</t>
  </si>
  <si>
    <t>The percentage of assets with properly configured authorized behavior-based anti-malware installed</t>
  </si>
  <si>
    <t>Safeguard 10.07 Final Score</t>
  </si>
  <si>
    <t>Control 11: Data Recovery</t>
  </si>
  <si>
    <t>Establish and Maintain a Data Recovery Process</t>
  </si>
  <si>
    <t>Check if the enterprise has a data recovery process (AD11)</t>
  </si>
  <si>
    <t>Sum of elements included in the data recovery process</t>
  </si>
  <si>
    <t>Examine the enterprise's data recovery process and determine if it addresses the scope of data recovery activities</t>
  </si>
  <si>
    <t>Examine the enterprise's data recovery process and determine if it addresses recovery prioritization</t>
  </si>
  <si>
    <t>Examine the enterprise's data recovery process and determine if it addresses the security of backup data</t>
  </si>
  <si>
    <t>Timeframe in months of the last update to the data recovery process</t>
  </si>
  <si>
    <t>The percentage of elements included in the data recovery process</t>
  </si>
  <si>
    <t>Safeguard 11.01 Final Completeness Score</t>
  </si>
  <si>
    <t>IF process is not provided, Safeguard receives a "0" score | M3&gt;[defined timeframe], Safeguard receives a "0" or reduced score</t>
  </si>
  <si>
    <t>Perform Automated Backups</t>
  </si>
  <si>
    <t>Count of in-scope assets without authorized backup software installed</t>
  </si>
  <si>
    <t>Identify and enumerate assets not covered by at least one authorized backup software</t>
  </si>
  <si>
    <t>Count of in-scope assets with properly configured backup software</t>
  </si>
  <si>
    <t>Identify and enumerate assets with properly configured backup software</t>
  </si>
  <si>
    <t>Count of in-scope assets with improperly configured backup software</t>
  </si>
  <si>
    <t>Identify and enumerate assets with improperly configured backup software</t>
  </si>
  <si>
    <t>Count of in-scope assets backed up within a week</t>
  </si>
  <si>
    <t>Identify and enumerate assets that have been backup within seven days or less</t>
  </si>
  <si>
    <t>Count of in-scope assets not backed up within a week</t>
  </si>
  <si>
    <t>Identify and enumerate assets that have been backed up outside of a seven-day window</t>
  </si>
  <si>
    <t>The percentage of in-scope assets with properly configured authorized backup software</t>
  </si>
  <si>
    <t>The percentage of in-scope assets backed up within a week timeframe</t>
  </si>
  <si>
    <t>Safeguard 11.02 Final Score</t>
  </si>
  <si>
    <t>Count of Input 1: GV33</t>
  </si>
  <si>
    <t>For each asset with backup software installed GV34, use GV3 to check if encryption is configured for backups (From 11.02 M1)</t>
  </si>
  <si>
    <t>Count of software configured to encrypt backups</t>
  </si>
  <si>
    <t>Identify and enumerate assets with software configured to encrypt backup</t>
  </si>
  <si>
    <t>Count of software not configured to encrypt backups</t>
  </si>
  <si>
    <t>Identify and enumerate assets with software not configured to encrypt backups</t>
  </si>
  <si>
    <t>The percentage of in-scope assets with backup software properly configured to encrypt backups</t>
  </si>
  <si>
    <t>Safeguard 11.03 Final Score</t>
  </si>
  <si>
    <t>Establish and Maintain an Isolated Instance of Recovery Data</t>
  </si>
  <si>
    <t>Count of Input 1 GV33</t>
  </si>
  <si>
    <t>For each asset in GV34, use configuration standards in GV3 to check the destination of backups</t>
  </si>
  <si>
    <t>Count of assets with backups sent to an isolated instance</t>
  </si>
  <si>
    <t>Identify and enumerate assets properly configured to send backups to an isolated instance</t>
  </si>
  <si>
    <t>Count of assets with backups not sent to an isolated instance</t>
  </si>
  <si>
    <t xml:space="preserve">Identify and enumerate assets not properly configured to send backups to an isolated instance </t>
  </si>
  <si>
    <t>The percentage of assets configured to send backups to an isolated instance</t>
  </si>
  <si>
    <t>Safeguard 11.04 Final Score</t>
  </si>
  <si>
    <t>Count of backups being tested</t>
  </si>
  <si>
    <t>Enumerate the total number of backups restored</t>
  </si>
  <si>
    <t>Count of properly working backups after restoration</t>
  </si>
  <si>
    <t xml:space="preserve">Identify and enumerate backups that are properly working after being restored </t>
  </si>
  <si>
    <t>Count of backups not properly working after restoration</t>
  </si>
  <si>
    <t>Identify and enumerate backups that did not properly work after being restored</t>
  </si>
  <si>
    <t>Timeframe between tests of backup recovery</t>
  </si>
  <si>
    <t>Compare Input 2 to the current date and capture the time frame in months</t>
  </si>
  <si>
    <t>The percentage of restored backup sampling deemed to be properly working</t>
  </si>
  <si>
    <t>Safeguard 11.05 Final Score</t>
  </si>
  <si>
    <t>Control 12: Network Infrastructure Management</t>
  </si>
  <si>
    <t>Count of network infrastructure assets</t>
  </si>
  <si>
    <t>Use Enterprise Asset Inventory (GV1) to identify and enumerate assets that are part of the network infrastructure GV35</t>
  </si>
  <si>
    <t>Count of network infrastructure assets up to date</t>
  </si>
  <si>
    <t>Identify and enumerate assets that match the most recent version</t>
  </si>
  <si>
    <t>Count of network infrastructure assets not up to date</t>
  </si>
  <si>
    <t>Assets that don't match the most recent version</t>
  </si>
  <si>
    <t>Timeframe since the last review of network infrastructure (Subset of GV1)</t>
  </si>
  <si>
    <t>If M4 is greater than thirty days, then this Safeguard is measured at a 0 and receives a failing score. The other metrics don't apply.</t>
  </si>
  <si>
    <t>The percentage of network infrastructure assets that are up to date</t>
  </si>
  <si>
    <t>Safeguard 12.01 Final Score</t>
  </si>
  <si>
    <t>Count of network segments within the enterprise</t>
  </si>
  <si>
    <t>Use the network architecture GV4 to identify and enumerate the segments within the enterprise network GV36</t>
  </si>
  <si>
    <t>Count of segments not compliant with least privilege</t>
  </si>
  <si>
    <t>Identify and enumerate segments that allow you to connect unauthorized devices</t>
  </si>
  <si>
    <t>Count of segments compliant with least privilege</t>
  </si>
  <si>
    <t>Segments that do not allow you to connect unauthorized devices</t>
  </si>
  <si>
    <t>Count of segments monitored for availability</t>
  </si>
  <si>
    <t>Identify and enumerate segments that are covered by availability monitoring software</t>
  </si>
  <si>
    <t>Count of segments not monitored for availability</t>
  </si>
  <si>
    <t>Segments that are not covered by availability monitoring software</t>
  </si>
  <si>
    <t>Segmentation</t>
  </si>
  <si>
    <t>If M1 is equal to 1, this metric is measured at a 0. Subsequent metrics can still be assessed.</t>
  </si>
  <si>
    <t>Least Privilege</t>
  </si>
  <si>
    <t>The percentage of network segments implementing least privilege.  M3 / M1</t>
  </si>
  <si>
    <t>Availability</t>
  </si>
  <si>
    <t>The percentage of network segments monitored for network availability M4 / M1</t>
  </si>
  <si>
    <t>Safeguard 12.02 Final Score</t>
  </si>
  <si>
    <t>Count of GV35 assets that are part of the network infrastructure</t>
  </si>
  <si>
    <t>Obtained from M1 of 12.01</t>
  </si>
  <si>
    <t>Count of network infrastructure assets using encrypted sessions</t>
  </si>
  <si>
    <t>Identify and enumerate assets using encrypted sessions</t>
  </si>
  <si>
    <t>Count of network infrastructure assets not using encrypted sessions</t>
  </si>
  <si>
    <t>Assets not using encrypted sessions</t>
  </si>
  <si>
    <t>Count of network segments (GV36) segments within the enterprise network</t>
  </si>
  <si>
    <t>Obtained from M1 of 12.02</t>
  </si>
  <si>
    <t>Count of network segments using infrastructure-as-code</t>
  </si>
  <si>
    <t xml:space="preserve">Identify and enumerate network segments that use infrastructure-as-code for the whole segment or partial </t>
  </si>
  <si>
    <t>Count of network segments not using infrastructure-as-code</t>
  </si>
  <si>
    <t>Network segments that do not use infrastructure-as-code for any portion of the segment</t>
  </si>
  <si>
    <t>Count of network segments covered by version-controlled infrastructure-as-code</t>
  </si>
  <si>
    <t>Identify and enumerate network segments covered by version-controlled infrastructure-as-code</t>
  </si>
  <si>
    <t>Count of network segments covered by unmanaged infrastructure-as-code</t>
  </si>
  <si>
    <t>Network segments covered by infrastructure-as-code is not managed through version control</t>
  </si>
  <si>
    <t>The percentage of network infrastructure assets using encrypted sessions</t>
  </si>
  <si>
    <t>The percentage of network segments covered by version-controlled infrastructure-as-code</t>
  </si>
  <si>
    <t>M7 / M4</t>
  </si>
  <si>
    <t>Safeguard 12.03 Final Score</t>
  </si>
  <si>
    <t>Timeframe in months of the last review or update to the documentation</t>
  </si>
  <si>
    <t>Sub-score Calculation</t>
  </si>
  <si>
    <t>Safeguard 12.04 Final Score</t>
  </si>
  <si>
    <t>Centralize Network Authentication, Authorization, and AuCentralize network AAA</t>
  </si>
  <si>
    <t>Count of AAA services within the enterprise</t>
  </si>
  <si>
    <t>Use Authorized Software Inventory(GV5) to identify and enumerate all AAA services within the enterprise (GV35)</t>
  </si>
  <si>
    <t>Count of unnecessary AAA services</t>
  </si>
  <si>
    <t>Identify and enumerate authentication points that are unnecessary or can be consolidated</t>
  </si>
  <si>
    <t>Count of necessary AAA services</t>
  </si>
  <si>
    <t>Authentication points that are necessary and cannot be consolidated</t>
  </si>
  <si>
    <t>Count of network infrastructure covered by AAA services</t>
  </si>
  <si>
    <t>Identify and enumerate network infrastructure assets that are covered by at least one AAA system</t>
  </si>
  <si>
    <t>Count of network infrastructure not covered by AAA services</t>
  </si>
  <si>
    <t>Network infrastructure assets that are not covered by an AAA system</t>
  </si>
  <si>
    <t>Count of GV35</t>
  </si>
  <si>
    <t>Percentage of properly centralized AAA services</t>
  </si>
  <si>
    <t>Percentage of network infrastructure assets managed through AAA</t>
  </si>
  <si>
    <t>Safeguard 12.05 Final Score</t>
  </si>
  <si>
    <t>Use of Secure Network Management and Communication Protocols</t>
  </si>
  <si>
    <t>Count of GV36</t>
  </si>
  <si>
    <t>GV36: Segments within the Enterprise Network</t>
  </si>
  <si>
    <t>Count of segments using authorized communication protocols</t>
  </si>
  <si>
    <t>Identify and enumerate segments using only communication protocols on the authorized list</t>
  </si>
  <si>
    <t>Count of segments using unauthorized communication protocols</t>
  </si>
  <si>
    <t>Segments using communication protocols not on the authorized list</t>
  </si>
  <si>
    <t>Count of segments using properly configured authorized communication protocols</t>
  </si>
  <si>
    <t>Identify and enumerate segments using properly configured communication protocols</t>
  </si>
  <si>
    <t>Count of segments using improperly configured authorized communication protocols</t>
  </si>
  <si>
    <t>Segments using improperly configured communication protocols</t>
  </si>
  <si>
    <t>Count of segments using unauthorized network management protocols</t>
  </si>
  <si>
    <t>Identify and enumerate segments using only network management protocols on the authorized lis</t>
  </si>
  <si>
    <t>Segments using network management protocols not on the authorized list</t>
  </si>
  <si>
    <t>Count of segments using properly configured authorized network management protocols</t>
  </si>
  <si>
    <t>Identify and enumerate segments using properly configured network management protocols</t>
  </si>
  <si>
    <t>Count of segments using improperly configured authorized network management protocols</t>
  </si>
  <si>
    <t>Segments using improperly configured network management protocols</t>
  </si>
  <si>
    <t>The percentage of network segments using properly configured and authorized communication protocols</t>
  </si>
  <si>
    <t>The percentage of network segments using properly configured and authorized network management protocols</t>
  </si>
  <si>
    <t>Safeguard 12.06 Final Score</t>
  </si>
  <si>
    <t>Ensure Remote Devices Utilize a VPN and are Connecting to an Enterprise's AAA Infrastructure</t>
  </si>
  <si>
    <t>Count of remote enterprise assets</t>
  </si>
  <si>
    <t>Use Enterprise Asset Inventory (GV1) to identify and enumerate remote enterprise assets (GV39)</t>
  </si>
  <si>
    <t>Count of VPN devices and software</t>
  </si>
  <si>
    <t>Use Enterprise Asset Inventory (GV1) and Authorized Software Inventory (GV5) to identify and enumerate all VPN devices and software</t>
  </si>
  <si>
    <t>Count of properly configured VPN devices and software</t>
  </si>
  <si>
    <t>Identify and enumerate VPN devices and software properly configured to require authentication prior to granting access</t>
  </si>
  <si>
    <t>Count of improperly configured VPN devices and software</t>
  </si>
  <si>
    <t>VPN devices and software not properly configured to require authentication prior to granting access</t>
  </si>
  <si>
    <t>Count of remote assets covered by a properly configured VPN</t>
  </si>
  <si>
    <t>Identify and enumerate assets that are covered by a VPN</t>
  </si>
  <si>
    <t>Count of remote assets not covered by a properly configured VPN</t>
  </si>
  <si>
    <t>Assets that are not covered by a VPN</t>
  </si>
  <si>
    <t>Count of properly configured AAA services</t>
  </si>
  <si>
    <t>Identify and enumerate AAA services properly configured to require authentication prior to granting access</t>
  </si>
  <si>
    <t>Count of improperly configured AAA services</t>
  </si>
  <si>
    <t>AAA services not properly configured to require authentication prior to granting access</t>
  </si>
  <si>
    <t>Count of remote assets covered by a properly configured AAA service</t>
  </si>
  <si>
    <t>Identify and enumerate assets that are covered by an AAA service</t>
  </si>
  <si>
    <t>Count of remote assets not covered by a properly configured AAA service</t>
  </si>
  <si>
    <t>Assets that are not covered by an AAA service</t>
  </si>
  <si>
    <t>Count of remote assets covered by both VPN and AAA</t>
  </si>
  <si>
    <t>Identify and enumerate assets covered by both VPN and AAA.  Compare the output of Operation M5 and M9</t>
  </si>
  <si>
    <t>M12</t>
  </si>
  <si>
    <t>The percentage of properly configured VPN devices and software</t>
  </si>
  <si>
    <t>The percentage of properly configured AAA services</t>
  </si>
  <si>
    <t>M7 / M12</t>
  </si>
  <si>
    <t>The percentage of remote assets using VPN and AAA</t>
  </si>
  <si>
    <t>M11 / M1</t>
  </si>
  <si>
    <t>Safeguard 12.07 Final Score</t>
  </si>
  <si>
    <t>Count of assets used for administrative purposes</t>
  </si>
  <si>
    <t>Use Enterprise Asset Inventory (GV1) to identify and enumerate assets used for administrative purposes</t>
  </si>
  <si>
    <t>Count of assets configured to not allow internet access</t>
  </si>
  <si>
    <t>Identify and enumerate assets that do not have internet access</t>
  </si>
  <si>
    <t>Count of assets configured to allow internet access</t>
  </si>
  <si>
    <t>Assets that have internet access</t>
  </si>
  <si>
    <t>Count of assets physically or logically separated from the primary network</t>
  </si>
  <si>
    <t>Identify and enumerate assets that are physically or logically separated from the primary network</t>
  </si>
  <si>
    <t>Count of assets not physically or logically separated from the primary network</t>
  </si>
  <si>
    <t>Assets that are not physically or logically separated from the primary network</t>
  </si>
  <si>
    <t>Count of assets configured to not allow internet access and are physically or logically separated</t>
  </si>
  <si>
    <t>Identify and enumerate assets that do not have internet access and are physically or logically separated</t>
  </si>
  <si>
    <t>The percentage of properly configured administrative assets</t>
  </si>
  <si>
    <t>Safeguard 12.08 Final Score</t>
  </si>
  <si>
    <t>Control 13: Network Monitoring and Defense</t>
  </si>
  <si>
    <t>Check for existing Log Correlation or Log Analytic Tool</t>
  </si>
  <si>
    <t>Location of GV42: Log Correlation or Log Analytic Tool (Is Agency onboarded to Defender ATP, "1" for yes, "0" for no)</t>
  </si>
  <si>
    <t>Count of assets that produce security event logs</t>
  </si>
  <si>
    <t>Use Enterprise Asset Inventory (GV1) to identify and enumerate enterprise assets that produce security event logs.  Obtained from 01.01 M1.a</t>
  </si>
  <si>
    <t>Count of assets with security event logs being centralized</t>
  </si>
  <si>
    <t>Identify and enumerate assets whose logs are centralized.  Status in Defender = "Onboarded"</t>
  </si>
  <si>
    <t>Count of assets with security event logs not being centralized</t>
  </si>
  <si>
    <t>Identify and enumerate assets whose logs are not centralized</t>
  </si>
  <si>
    <t>The percentage of assets whose security logs are centralized</t>
  </si>
  <si>
    <t>Safeguard 13.01 Final Score</t>
  </si>
  <si>
    <t>Count of enterprise assets capable of supporting host-based intrusion detection systems</t>
  </si>
  <si>
    <t>Use GV1 to identify and enumerate assets capable of supporting host based intrusion detection systems</t>
  </si>
  <si>
    <t>Count of assets with host-based intrusion detection systems</t>
  </si>
  <si>
    <t>Identify and enumerate assets with host-based intrusion detection software installed</t>
  </si>
  <si>
    <t>Count of assets without host-based intrusion detection systems</t>
  </si>
  <si>
    <t>assets without host-based intrusion detection software installed</t>
  </si>
  <si>
    <t>The percentage of assets capable of supporting host-based intrusion detection systems with host-based intrusion detection software installed</t>
  </si>
  <si>
    <t>Safeguard 13.02 Final Score</t>
  </si>
  <si>
    <t>Count of network boundaries</t>
  </si>
  <si>
    <t>Use GV4 to identify and enumerate network boundaries</t>
  </si>
  <si>
    <t>Count of network boundaries covered by a network intrusion detection solution</t>
  </si>
  <si>
    <t>Identify and enumerate boundaries covered by at least one network intrusion detection solution</t>
  </si>
  <si>
    <t>Count of network boundaries not covered by a network intrusion detection solution</t>
  </si>
  <si>
    <t>boundaries not covered by at least one network intrusion detection solution</t>
  </si>
  <si>
    <t>The percentage of network boundaries covered by network intrusion detection solutions</t>
  </si>
  <si>
    <t>Safeguard 13.03 Final Score</t>
  </si>
  <si>
    <t>Count of network segments that communicate with other networks segments</t>
  </si>
  <si>
    <t>Count of network segments with properly configured filtering assets</t>
  </si>
  <si>
    <t>Identify and enumerate network segments with properly configured filtering assets</t>
  </si>
  <si>
    <t>Count of network segments with improperly configured filtering assets</t>
  </si>
  <si>
    <t>network segments with improperly configured filtering assets</t>
  </si>
  <si>
    <t>The percentage of network segments properly configured to filter traffic between segments</t>
  </si>
  <si>
    <t>Safeguard 13.04 Final Score</t>
  </si>
  <si>
    <t>Count of authorization systems that allow remote logins</t>
  </si>
  <si>
    <t>Use GV23 to identify and enumerate authorization systems that allow remote logins</t>
  </si>
  <si>
    <t>Count of authorization systems properly configured to comply with policies</t>
  </si>
  <si>
    <t>Identify and enumerate authorization systems properly configured for all the policies</t>
  </si>
  <si>
    <t>Count of authorization systems not properly configured to comply with policies</t>
  </si>
  <si>
    <t>authorization systems for which at least one configuration does not comply with the policies</t>
  </si>
  <si>
    <t>Count of remote enterprise assets covered by a compliant authorization system</t>
  </si>
  <si>
    <t>Identify and enumerate assets that are covered by at least one compliant authorization system</t>
  </si>
  <si>
    <t>Count of remote enterprise assets not covered by a compliant authorization system</t>
  </si>
  <si>
    <t>assets that are not covered by a compliant authorization system</t>
  </si>
  <si>
    <t>Count of remote enterprise assets GV39</t>
  </si>
  <si>
    <t>This is a subset of GV1:Enterprise Asset Inventory</t>
  </si>
  <si>
    <t>The percentage of properly configured authorization systems that allow remote login</t>
  </si>
  <si>
    <t>The percentage of remote enterprise assets covered by compliant authorization systems</t>
  </si>
  <si>
    <t>Safeguard 13.05 Final Score</t>
  </si>
  <si>
    <t>Collect Network Traffic Flow Logs</t>
  </si>
  <si>
    <t>Count of network boundary assets</t>
  </si>
  <si>
    <t>Use GV35 to identify and enumerate network boundary assets</t>
  </si>
  <si>
    <t>Count of properly configured network boundary assets</t>
  </si>
  <si>
    <t>Identify and enumerate assets with either network traffic flow or network traffic logging enabled</t>
  </si>
  <si>
    <t>Count of improperly configured network boundary assets</t>
  </si>
  <si>
    <t>assets that have neither network traffic flow nor network traffic logging enabled</t>
  </si>
  <si>
    <t>The percentage of network boundary assets properly configured to log network traffic flow or network traffic</t>
  </si>
  <si>
    <t>Safeguard 13.06 Final Score</t>
  </si>
  <si>
    <t>Count of enterprise assets capable of supporting host-based intrusion prevention systems</t>
  </si>
  <si>
    <t>Use Enterprise Asset Inventory (GV1) to identify and enumerate assets capable of supporting host-based intrusion prevention systems</t>
  </si>
  <si>
    <t>Count of assets with host-based intrusion prevention systems</t>
  </si>
  <si>
    <t>Identify and enumerate assets with host-based intrusion prevention software installed. Defender Asset Inventory with a status of "Onboarded."</t>
  </si>
  <si>
    <t>Count of assets without host-based intrusion prevention systems</t>
  </si>
  <si>
    <t>Identify and enumerate assets without host-based intrusion prevention software installed. Defender Asset Inventory with a status of "Can be onboarded."</t>
  </si>
  <si>
    <t>The percentage of assets capable of supporting host-based intrusion prevention systems with software installed</t>
  </si>
  <si>
    <t>Safeguard 13.07 Final Score</t>
  </si>
  <si>
    <t>Deploy a Network Intrusion Prevention Solutions</t>
  </si>
  <si>
    <t>Count of network boundaries GV40</t>
  </si>
  <si>
    <t>Count of network boundaries covered by a network intrusion prevention solution</t>
  </si>
  <si>
    <t>Identify and enumerate boundaries covered by at least one network intrusion prevention solution</t>
  </si>
  <si>
    <t>Count of network boundaries not covered by a network intrusion prevention solution</t>
  </si>
  <si>
    <t>boundaries not covered by at least one network intrusion prevention solution</t>
  </si>
  <si>
    <t>The percentage of network boundaries covered by network intrusion prevention solutions</t>
  </si>
  <si>
    <t>Safeguard 13.08 Final Score</t>
  </si>
  <si>
    <t>Count of 802.1x authenticators</t>
  </si>
  <si>
    <t>Count of 802.1x properly configured authenticators</t>
  </si>
  <si>
    <t>Identify and enumerate properly configured authenticators</t>
  </si>
  <si>
    <t>Count of 802.1x improperly configured authenticators</t>
  </si>
  <si>
    <t>improperly configured authenticators</t>
  </si>
  <si>
    <t>Count of 802.1x authentication servers</t>
  </si>
  <si>
    <t>Use AAA Services within the Enterprise (GV38) to identify 802.1x authentication servers</t>
  </si>
  <si>
    <t>Count of 802.1x properly configured authentication servers</t>
  </si>
  <si>
    <t>Identify and enumerate properly configured authentication servers</t>
  </si>
  <si>
    <t>Count of 802.1x improperly configured authentication servers</t>
  </si>
  <si>
    <t>improperly configured authentication server</t>
  </si>
  <si>
    <t>Count of Assets that are Part of the Network Infrastructure (GV35)</t>
  </si>
  <si>
    <t>Count of assets properly configured for client authentication certificates</t>
  </si>
  <si>
    <t>Count of assets improperly configured for client authentication certificates</t>
  </si>
  <si>
    <t>improperly configured assets</t>
  </si>
  <si>
    <t>The percentage of properly configured authenticators</t>
  </si>
  <si>
    <t>The percentage of properly configured authentication servers</t>
  </si>
  <si>
    <t>The percentage of assets properly configured for authentication certificate coverage</t>
  </si>
  <si>
    <t>M8 / M7</t>
  </si>
  <si>
    <t>Safeguard 13.09 Final Score</t>
  </si>
  <si>
    <t>Count of network infrastructure assets covered by the application layer filtering software</t>
  </si>
  <si>
    <t>Identify and enumerate assets covered by application layer filtering software</t>
  </si>
  <si>
    <t>Count of network infrastructure assets not covered by application layer filtering software</t>
  </si>
  <si>
    <t>assets not covered by application layer filtering software</t>
  </si>
  <si>
    <t>The percentage of network infrastructure assets covered by application layering software</t>
  </si>
  <si>
    <t>Safeguard 13.10 Final Score</t>
  </si>
  <si>
    <t>Date of the last tuning of security event alert thresholds for log correlation or log analytic tool</t>
  </si>
  <si>
    <t>Date of last tuning of security event alert thresholds of GV42 Log Correlation or Log Analytic Tool</t>
  </si>
  <si>
    <t>If M1 is greater than thirty days, then this Safeguard is measured at a 0 and receives a failing score.</t>
  </si>
  <si>
    <t>Safeguard 13.11 Final Score</t>
  </si>
  <si>
    <t>Control 14: Security Awareness and Skills Training</t>
  </si>
  <si>
    <t>Security Awareness Program (AD12)</t>
  </si>
  <si>
    <t>Timeframe since the last review of Security Awareness Program</t>
  </si>
  <si>
    <t>Count of Workforce Members (GV43)</t>
  </si>
  <si>
    <t>Count of workforce members that have completed training</t>
  </si>
  <si>
    <t>Identify and enumerate members who have completed at least initial training</t>
  </si>
  <si>
    <t>Count of workforce members that have not completed training</t>
  </si>
  <si>
    <t>Identify and enumerate members who have not completed any training</t>
  </si>
  <si>
    <t>Count of workforce members whose training is up to date</t>
  </si>
  <si>
    <t>Identify and enumerate members whose most recent training date is less than or equal to twelve months from the current date</t>
  </si>
  <si>
    <t>Count of workforce members whose training is not up to date</t>
  </si>
  <si>
    <t>Identify and enumerate members whose most recent training date is greater than twelve months from the current date</t>
  </si>
  <si>
    <t>The percentage of workforce members that have received initial training</t>
  </si>
  <si>
    <t>The percentage of compliant workforce members</t>
  </si>
  <si>
    <t>Safeguard 14.01 Final Score</t>
  </si>
  <si>
    <t>If Program is not provided, Safeguard receives a "0" score | If M2&gt;[defined timeframe] Safeguard score is "0" or reduced</t>
  </si>
  <si>
    <t>Check Security Awareness Program to determine if Recognizing Social Engineering Attacks training module is included</t>
  </si>
  <si>
    <t>Count of Workforce Members: GV43</t>
  </si>
  <si>
    <t xml:space="preserve">Identify and enumerate members whose most recent training date is greater than twelve months from the current date </t>
  </si>
  <si>
    <t>Safeguard 14.02 Final Score</t>
  </si>
  <si>
    <t>Check Security Awareness Program to determine if Authentication Best Practices training module is included</t>
  </si>
  <si>
    <t>Safeguard 14.03 Final Score</t>
  </si>
  <si>
    <t>Check Security Awareness Program to determine if Data Handling Best Practices training module is included</t>
  </si>
  <si>
    <t>Safeguard 14.04 Final Score</t>
  </si>
  <si>
    <t>Check Security Awareness Program to determine if Causes of Unintentional Data Exposure training module is included</t>
  </si>
  <si>
    <t>Safeguard 14.05 Final Score</t>
  </si>
  <si>
    <t>Check Security Awareness Program to determine if Recognizing and Reporting Security Incidents training module is included</t>
  </si>
  <si>
    <t>Safeguard 14.06 Final Score</t>
  </si>
  <si>
    <t>Check Security Awareness Program to determine if How to Identify and Report if Their Enterprise Assets are Missing Security Updates training module is included</t>
  </si>
  <si>
    <t>Safeguard 14.07 Final Score</t>
  </si>
  <si>
    <t>Check Security Awareness Program to determine if Dangers of Connecting to and Transmitting Enterprise Data Over Insecure Networks training module is included</t>
  </si>
  <si>
    <t>Safeguard 14.08 Final Score</t>
  </si>
  <si>
    <t>Check Security Awareness Program to determine if Role-Specific Security Awareness and Skills Training module is included</t>
  </si>
  <si>
    <t>Safeguard 14.09 Final Score</t>
  </si>
  <si>
    <t>Control 15: Service Provider Management</t>
  </si>
  <si>
    <t>Determine whether the enterprise maintains a service provider inventory list (GV44)</t>
  </si>
  <si>
    <t>Sum of components included in the inventory</t>
  </si>
  <si>
    <t>Review service provider inventory and determine if it includes classification of provider</t>
  </si>
  <si>
    <t>Review service provider inventory and determine if it includes an enterprise contact for the provider.</t>
  </si>
  <si>
    <t>Total count of elements in Service Provider Inventory</t>
  </si>
  <si>
    <t> </t>
  </si>
  <si>
    <t>Count of service providers in the inventory</t>
  </si>
  <si>
    <t>Count of accurately listed providers</t>
  </si>
  <si>
    <t>Identify and enumerate providers that are accurately listed</t>
  </si>
  <si>
    <t>Count of erroneously listed providers</t>
  </si>
  <si>
    <t>Identify and enumerate providers that are erroneously listed</t>
  </si>
  <si>
    <t>Count of missing providers from the list</t>
  </si>
  <si>
    <t>Identify and enumerate providers that should be listed but are missing</t>
  </si>
  <si>
    <t>Timeframe since the last update or review of the inventory</t>
  </si>
  <si>
    <t>Compare the date from last update/review with the current date and capture the time frame in months</t>
  </si>
  <si>
    <t>The percentage of components included in the inventory</t>
  </si>
  <si>
    <t>M2.d / (M3 * 3)</t>
  </si>
  <si>
    <t>The percentage of accurately listed service providers in the inventory</t>
  </si>
  <si>
    <t>M4 / (M3 - M5 + M6)</t>
  </si>
  <si>
    <t>Safeguard 15.01 Final Score</t>
  </si>
  <si>
    <t>Determine whether the enterprise maintains a service provider management policy (GV45)</t>
  </si>
  <si>
    <t>Sum of components included in the policy</t>
  </si>
  <si>
    <t>Review GV45 for service provider inventory</t>
  </si>
  <si>
    <t>Review GV45 for classification of service providers</t>
  </si>
  <si>
    <t>Review GV45 for assessment of service providers</t>
  </si>
  <si>
    <t>Review GV45 for monitoring of service providers</t>
  </si>
  <si>
    <t>Review GV45 for decommissioning of service providers</t>
  </si>
  <si>
    <t>Timeframe since the last update or review of the policy</t>
  </si>
  <si>
    <t>The percentage of components included in the policy</t>
  </si>
  <si>
    <t>M2 / 5</t>
  </si>
  <si>
    <t>Safeguard 15.02 Final Score</t>
  </si>
  <si>
    <t>If M1 is a 0, this Safeguard receives a failing score.</t>
  </si>
  <si>
    <t>Use GV45 to determine if the enterprise policy includes the classification process of service providers by one or more characteristics</t>
  </si>
  <si>
    <t>Timeframe since the last update or review of the service provider inventory</t>
  </si>
  <si>
    <t>Count of service providers in inventory</t>
  </si>
  <si>
    <t>Count of service providers with classification</t>
  </si>
  <si>
    <t>Identify and enumerate service providers with an assigned classification</t>
  </si>
  <si>
    <t>Count of service providers without classification</t>
  </si>
  <si>
    <t>service providers without a classification</t>
  </si>
  <si>
    <t>The percentage of service providers with a classification</t>
  </si>
  <si>
    <t>Safeguard 15.03 Final Score</t>
  </si>
  <si>
    <t>Use GV45 to determine if the enterprise policy includes security program requirements for service providers</t>
  </si>
  <si>
    <t>Count of service providers with contracts</t>
  </si>
  <si>
    <t>Identify and enumerate service providers with contract</t>
  </si>
  <si>
    <t>Count of service providers without contracts</t>
  </si>
  <si>
    <t>service providers without contracts</t>
  </si>
  <si>
    <t>Count of service providers with up-to-date contracts</t>
  </si>
  <si>
    <t xml:space="preserve">Identify and enumerate service providers whose contract has been reviewed within twelve months or less </t>
  </si>
  <si>
    <t>Count of service providers without outdated contracts</t>
  </si>
  <si>
    <t>service providers whose contract has been reviewed outside the twelve-month window</t>
  </si>
  <si>
    <t>The percentage of service providers with up-to-date contract</t>
  </si>
  <si>
    <t>Safeguard 15.04 Final Score</t>
  </si>
  <si>
    <t>If M1 is a 0, this Safeguard receives a failing score. The other metrics don't apply.</t>
  </si>
  <si>
    <t>Use GV45 to determine if the enterprise policy includes monitoring guidance for service providers</t>
  </si>
  <si>
    <t>Count of service providers with monitoring guidance</t>
  </si>
  <si>
    <t>Identify and enumerate service providers with monitoring guidance</t>
  </si>
  <si>
    <t>Count of service providers without monitoring guidance</t>
  </si>
  <si>
    <t>service providers without monitoring guidance</t>
  </si>
  <si>
    <t>The percentage of service providers with monitoring guidance included in policy</t>
  </si>
  <si>
    <t>Safeguard 15.05 Final Score</t>
  </si>
  <si>
    <t>Count of service providers with monitoring guidance provided</t>
  </si>
  <si>
    <t>Identify and enumerate service providers with monitoring guidance provided</t>
  </si>
  <si>
    <t>Count of service providers without monitoring guidance provided</t>
  </si>
  <si>
    <t>service providers without monitoring guidance provided</t>
  </si>
  <si>
    <t>The percentage of service providers with up-to-date assessments</t>
  </si>
  <si>
    <t>Safeguard 15.06 Final Score</t>
  </si>
  <si>
    <t>Use GV45 to determine if the enterprise policy includes guidance for securely decommissioning service providers</t>
  </si>
  <si>
    <t>Count of service providers terminated over the last twelve months</t>
  </si>
  <si>
    <t>Use GV44 to identify and enumerate any service providers terminated over the last twelve months</t>
  </si>
  <si>
    <t>Count of service providers properly terminated</t>
  </si>
  <si>
    <t xml:space="preserve">Identify and enumerate service providers properly terminated </t>
  </si>
  <si>
    <t>Count of service providers improperly terminated</t>
  </si>
  <si>
    <t xml:space="preserve">service providers improperly terminated </t>
  </si>
  <si>
    <t>The percentage of service providers properly terminated</t>
  </si>
  <si>
    <t>Safeguard 15.07 Final Score</t>
  </si>
  <si>
    <t>Control 16: Application Software Security</t>
  </si>
  <si>
    <t>Establish and Maintain a Secure Application Development Process</t>
  </si>
  <si>
    <t>Secure Application Development Process (GV49) Exists</t>
  </si>
  <si>
    <t>Sum of components included in the process</t>
  </si>
  <si>
    <t>Review GV49 and determine whether it includes secure application design standards</t>
  </si>
  <si>
    <t>Review GV49 and determine whether it includes secure coding practices</t>
  </si>
  <si>
    <t>Review GV49 and determine whether it includes developer training</t>
  </si>
  <si>
    <t>Review GV49 and determine whether it includes vulnerability management</t>
  </si>
  <si>
    <t>Review GV49 and determine whether it includes security of third-party code</t>
  </si>
  <si>
    <t>Review GV49 and determine whether it includes application security testing procedures</t>
  </si>
  <si>
    <t>Timeframe in months since last review or update</t>
  </si>
  <si>
    <t>The percentage of components included in the secure application development process</t>
  </si>
  <si>
    <t>Safeguard 16.01 Final Score</t>
  </si>
  <si>
    <t>If Process is not provided, Safeguard receives a "0" score | If M3&gt;[defined timeframe] Safeguard score is "0" or reduced</t>
  </si>
  <si>
    <t>Process to Accept and Address Software Vulnerabilities (GV48) Exists</t>
  </si>
  <si>
    <t>Review GV48 and determine whether it includes a reporting process</t>
  </si>
  <si>
    <t>Review GV48 and determine whether it includes a responsible party for handling vulnerability reports</t>
  </si>
  <si>
    <t>Review GV48 and determine whether it includes a process for intake</t>
  </si>
  <si>
    <t>Review GV48 and determine whether it includes a process for assignment</t>
  </si>
  <si>
    <t>Review GV48 and determine whether it includes a process for remediation</t>
  </si>
  <si>
    <t>Review GV48 and determine whether it includes a process for testing</t>
  </si>
  <si>
    <t>Review GV48 and determine whether it includes a vulnerability tracking system</t>
  </si>
  <si>
    <t>M2 / 7</t>
  </si>
  <si>
    <t>Safeguard 16.02 Final Score</t>
  </si>
  <si>
    <t>Determine whether Root Cause Analysis Process exists within the enterprise</t>
  </si>
  <si>
    <t>Review Root Cause Analysis Process and determine whether it includes categorization of vulnerabilities</t>
  </si>
  <si>
    <t>Review Root Cause Analysis Process and determine whether it includes guidance for how lessons learned are incorporated into the development process</t>
  </si>
  <si>
    <t>Count of Vulnerabilities addressed over the last twelve months</t>
  </si>
  <si>
    <t>Count of vulnerabilities for which root cause analysis was conducted</t>
  </si>
  <si>
    <t>Identify and enumerate vulnerabilities for which the process was followed</t>
  </si>
  <si>
    <t>Count of vulnerabilities for which root cause analysis was not conducted</t>
  </si>
  <si>
    <t>Identify and enumerate vulnerabilities for which the process was not followed</t>
  </si>
  <si>
    <t>M2 / 2</t>
  </si>
  <si>
    <t>The percentage of vulnerabilities for which root cause analysis was conducted</t>
  </si>
  <si>
    <t>Safeguard 16.03 Final Score</t>
  </si>
  <si>
    <t>IF M1=0, Safeguard receives a "0" score</t>
  </si>
  <si>
    <t>Determine whether Inventory of Third-Party Software Components exists within the enterprise</t>
  </si>
  <si>
    <t>Count of records in Inventory of Third-Party Software Components (GV47)</t>
  </si>
  <si>
    <t>Sum of software components with complete information</t>
  </si>
  <si>
    <t>Use GV47 and determine whether each software component listed includes risk associated with components</t>
  </si>
  <si>
    <t>Use GV47 and determine whether each software component listed includes whether the component is supported.</t>
  </si>
  <si>
    <t>Count of software components with missing information</t>
  </si>
  <si>
    <t>Timeframe since the last review or update of the inventory</t>
  </si>
  <si>
    <t>The percent of components included in the secure application development process</t>
  </si>
  <si>
    <t>Safeguard 16.04 Final Score</t>
  </si>
  <si>
    <t>Count of GV47</t>
  </si>
  <si>
    <t>GV47: Inventory of Third-Party Software Components</t>
  </si>
  <si>
    <t>Count of software components that are up-to-date</t>
  </si>
  <si>
    <t>Identify and enumerate software components that are up-to-date</t>
  </si>
  <si>
    <t>Count of software components that are not up-to-date</t>
  </si>
  <si>
    <t>Identify and enumerate software components that are not up-to-date</t>
  </si>
  <si>
    <t>Count of software components that are up-to-date and trusted</t>
  </si>
  <si>
    <t>Identify and enumerate software components that are trusted by the enterprise</t>
  </si>
  <si>
    <t>The percentage of up-to-date and trusted software components</t>
  </si>
  <si>
    <t>Safeguard 16.05 Final Score</t>
  </si>
  <si>
    <t>Using GV48 determine whether the enterprise has a severity rating system and process for application vulnerabilities</t>
  </si>
  <si>
    <t>Count of components included in the process</t>
  </si>
  <si>
    <t>For each component included in the process, assign a value of 1. Sum all values</t>
  </si>
  <si>
    <t>Safeguard 16.06 Final Score</t>
  </si>
  <si>
    <t>Count of application infrastructure components</t>
  </si>
  <si>
    <t>Use Enterprise Asset Inventory (GV1) to identify and enumerate application infrastructure components GV50</t>
  </si>
  <si>
    <t>Count of components that meet industry standards</t>
  </si>
  <si>
    <t>Identify and enumerate infrastructure components that meet industry standards</t>
  </si>
  <si>
    <t>Count of components that do not meet industry standards</t>
  </si>
  <si>
    <t>Infrastructure components that do not meet industry standards</t>
  </si>
  <si>
    <t>The percentage of application infrastructure components that meet industry configuration standards</t>
  </si>
  <si>
    <t>Safeguard 16.07 Final Score</t>
  </si>
  <si>
    <t>Count of production systems</t>
  </si>
  <si>
    <t>Use Enterprise Asset Inventory (GV1) to identify and enumerate production systems</t>
  </si>
  <si>
    <t>Count of production systems with a non-production system to complement</t>
  </si>
  <si>
    <t>Identify and enumerate production systems with at least one non-production system</t>
  </si>
  <si>
    <t>Count of production systems without a non-production system to complement</t>
  </si>
  <si>
    <t>Production systems without a non-production system</t>
  </si>
  <si>
    <t>The percentage of non-production systems with an existing production system</t>
  </si>
  <si>
    <t>Safeguard 16.08 Final Score</t>
  </si>
  <si>
    <t>Count of software-developing personnel</t>
  </si>
  <si>
    <t>Count of software developing personnel with completed courses</t>
  </si>
  <si>
    <t>Identify and enumerate personnel that have completed the appropriate courses</t>
  </si>
  <si>
    <t>Count of software developing personnel without completed courses</t>
  </si>
  <si>
    <t>Personnel that have not completed the appropriate courses</t>
  </si>
  <si>
    <t>Count of software developing personnel with training in scope</t>
  </si>
  <si>
    <t>Identify and enumerate personnel that have completed all appropriate training within twelve months or less</t>
  </si>
  <si>
    <t>Count of software developing personnel with training out of scope</t>
  </si>
  <si>
    <t>Personnel that have not completed all appropriate training within twelve months or less</t>
  </si>
  <si>
    <t>The percentage of software development personnel with all appropriate training courses in scope</t>
  </si>
  <si>
    <t>Safeguard 16.09 Final Score</t>
  </si>
  <si>
    <t>Use GV49 to determine whether the process outlines a secure software framework that includes secure design principles</t>
  </si>
  <si>
    <t>GV49: Secure Application Development Process.  "1" if yes, "0" if no</t>
  </si>
  <si>
    <t>Count of GV50</t>
  </si>
  <si>
    <t>GV50: Application Infrastructure Components</t>
  </si>
  <si>
    <t>Count of applications infrastructure components with design principles applied</t>
  </si>
  <si>
    <t>Identify and enumerate application infrastructure components where design principles are applied</t>
  </si>
  <si>
    <t>Count of applications infrastructure components without design principles applied</t>
  </si>
  <si>
    <t>Application infrastructure components where design principles are not applied</t>
  </si>
  <si>
    <t>The percentage of applications infrastructure components where design principles were applied</t>
  </si>
  <si>
    <t>Safeguard 16.10 Final Score</t>
  </si>
  <si>
    <t>Count of application security components</t>
  </si>
  <si>
    <t>Use Authorized Software Inventory (GV5) to identify and enumerate application security component</t>
  </si>
  <si>
    <t>Count of application security components containing custom code</t>
  </si>
  <si>
    <t>Identify and enumerate components that contain custom code</t>
  </si>
  <si>
    <t>Count of application security components not containing custom code</t>
  </si>
  <si>
    <t>Components that do not contain custom code</t>
  </si>
  <si>
    <t>Count of application security components containing custom code and vetted modules or services do exist</t>
  </si>
  <si>
    <t>Identify and enumerate components for which vetted modules or services exist</t>
  </si>
  <si>
    <t>Count of application security components containing custom code and vetted modules or services do not exist</t>
  </si>
  <si>
    <t>Components for which vetted modules or services do not exis</t>
  </si>
  <si>
    <t>The percentage of application security components using vetted modules or services when available</t>
  </si>
  <si>
    <t>Safeguard 16.11 Final Score</t>
  </si>
  <si>
    <t>Count of in-house developed software</t>
  </si>
  <si>
    <t>Use Authorized Software Inventory (GV5) to identify and enumerate in-house developed software</t>
  </si>
  <si>
    <t>Count of in-house developed software verified by a static analysis tool</t>
  </si>
  <si>
    <t>Identify and enumerate software verified by a static tool</t>
  </si>
  <si>
    <t>Count of in-house developed software not verified by a static analysis tool</t>
  </si>
  <si>
    <t>software not verified by a static tool</t>
  </si>
  <si>
    <t>Count of in-house developed software verified by a dynamic analysis tool</t>
  </si>
  <si>
    <t xml:space="preserve">Identify and enumerate software verified by a dynamic tool </t>
  </si>
  <si>
    <t>Count of in-house developed software not verified by a dynamic analysis tool</t>
  </si>
  <si>
    <t>software not verified by a dynamic tool</t>
  </si>
  <si>
    <t>The percentage of in-house developed software verified by a static analysis tool</t>
  </si>
  <si>
    <t>The percentage of in-house developed software verified by a dynamic analysis tool</t>
  </si>
  <si>
    <t>Safeguard 16.12 Final Score</t>
  </si>
  <si>
    <t>Determine whether Application Penetration Testing Process exists for the enterprise</t>
  </si>
  <si>
    <t>"1" = yes, "0" = no</t>
  </si>
  <si>
    <t>Count of applications within the enterprise</t>
  </si>
  <si>
    <t>Use Authorized Software Inventory (GV5) to identify and enumerate all applications within the enterprise</t>
  </si>
  <si>
    <t>Count of applications that have undergone unauthenticated penetration testing per enterprise's process</t>
  </si>
  <si>
    <t>Identify and enumerate applications that have been tested</t>
  </si>
  <si>
    <t>Count of applications that have not undergone unauthenticated penetration testing per enterprise's process</t>
  </si>
  <si>
    <t>Applications that have not been tested</t>
  </si>
  <si>
    <t>Count of critical applications</t>
  </si>
  <si>
    <t>This is a subset of the applications listed / identified in M2</t>
  </si>
  <si>
    <t>Count of critical applications that have undergone authenticated penetration testing per enterprise's process</t>
  </si>
  <si>
    <t>Count of critical applications that have not undergone authenticated penetration testing per enterprise's process</t>
  </si>
  <si>
    <t>The percentage of applications that underwent unauthenticated penetration testing per enterprise's process</t>
  </si>
  <si>
    <t>The percentage of critical applications that underwent authenticated penetration testing per enterprise's process</t>
  </si>
  <si>
    <t>M6 / M5</t>
  </si>
  <si>
    <t>Safeguard 16.13 Final Score</t>
  </si>
  <si>
    <t>Determine whether Threat Modeling Process exists for the Enterprise</t>
  </si>
  <si>
    <t>Count of in-house developed applications</t>
  </si>
  <si>
    <t>Use  Authorized Software Inventory (GV5) to identify and enumerate all in-house developed applications</t>
  </si>
  <si>
    <t>Count of in-house developed applications that underwent threat modeling</t>
  </si>
  <si>
    <t xml:space="preserve">Identify and enumerate applications for which threat modeling was conducted </t>
  </si>
  <si>
    <t>Count of in-house developed applications that did not undergo threat modeling</t>
  </si>
  <si>
    <t>Applications for which threat modeling was not conducted</t>
  </si>
  <si>
    <t>The percentage of in-house developed applications that underwent threat modeling</t>
  </si>
  <si>
    <t>Safeguard 16.14 Final Score</t>
  </si>
  <si>
    <t>Control 17: Incident Response Management</t>
  </si>
  <si>
    <t>Enterprise Incident Response Documentation (GV51)</t>
  </si>
  <si>
    <t>Sum of components included in the documentation</t>
  </si>
  <si>
    <t>Determine whether the documentation outlines primary personnel</t>
  </si>
  <si>
    <t>Determine whether the documentation outlines backup personnel</t>
  </si>
  <si>
    <t>Determine whether the documentation outlines roles and responsibilities of each</t>
  </si>
  <si>
    <t>Timeframe since the last update or review of documentation in months</t>
  </si>
  <si>
    <t>The percentage of components included in the documentation for designated incident handling personnel</t>
  </si>
  <si>
    <t>Safeguard 17.01 Final Score</t>
  </si>
  <si>
    <t>If GV51 is not provided, Safeguard receives a "0" score | If M3&gt;[defined timeframe] Safeguard score is "0" or reduced</t>
  </si>
  <si>
    <t>Determine whether the enterprise documents establish and maintain contact information for reporting security incidents</t>
  </si>
  <si>
    <t>17.01 M3</t>
  </si>
  <si>
    <t>Safeguard 17.02 Final Score</t>
  </si>
  <si>
    <t>If element does not exist, Safeguard receives a "0" score | If M3&gt;[defined timeframe] Safeguard score is "0" or reduced</t>
  </si>
  <si>
    <t>Determine whether the enterprise documents process for reporting incidents</t>
  </si>
  <si>
    <t>Determine whether the documentation outlines reporting timeframe</t>
  </si>
  <si>
    <t>Determine whether the documentation outlines personnel to report to</t>
  </si>
  <si>
    <t>Determine whether the documentation outlines mechanism for reporting</t>
  </si>
  <si>
    <t>Determine whether the documentation outlines the minimum information to be reported</t>
  </si>
  <si>
    <t>Determine whether the process documentation is available to the whole workforce</t>
  </si>
  <si>
    <t>M2 / 4</t>
  </si>
  <si>
    <t>Safeguard 17.03 Final Score</t>
  </si>
  <si>
    <t>Determine whether the enterprise documents an incident response process (GV52)</t>
  </si>
  <si>
    <t>Sum of components included in the incident response process documentation</t>
  </si>
  <si>
    <t>Determine whether the documentation outlines roles and responsibilities</t>
  </si>
  <si>
    <t>Determine whether the documentation outlines compliance requirements</t>
  </si>
  <si>
    <t>Determine whether the documentation outlines a communication plan</t>
  </si>
  <si>
    <t>Safeguard 17.04 Final Score</t>
  </si>
  <si>
    <t>Determine whether the enterprise documents key roles and responsibilities in GV52</t>
  </si>
  <si>
    <t>Count of roles and responsibilities outlined in the process</t>
  </si>
  <si>
    <t>Using the documentation in GV52, identify and enumerate the roles and responsibilities</t>
  </si>
  <si>
    <t>Count of roles and responsibilities that are mapped to an individual</t>
  </si>
  <si>
    <t>Identify and enumerate those that are mapped</t>
  </si>
  <si>
    <t>Count of roles and responsibilities that are not mapped to an individual</t>
  </si>
  <si>
    <t>M2 - M3</t>
  </si>
  <si>
    <t>17.04 M3</t>
  </si>
  <si>
    <t>The percentage of roles and responsibilities that are mapped to an individual</t>
  </si>
  <si>
    <t>Safeguard 17.05 Final Score</t>
  </si>
  <si>
    <t>If element does not exist, Safeguard receives a "0" score | If M5&gt;[defined timeframe] Safeguard score is "0" or reduced</t>
  </si>
  <si>
    <t>Determine whether the enterprise document mechanisms for communication by reviewing GV52</t>
  </si>
  <si>
    <t>Sum of mechanisms for communication included in the documentation</t>
  </si>
  <si>
    <t>Determine whether the documentation outlines primary mechanisms for communication</t>
  </si>
  <si>
    <t>Determine whether the documentation outlines secondary mechanisms for communication</t>
  </si>
  <si>
    <t>Safeguard 17.06 Final Score</t>
  </si>
  <si>
    <t>Determine whether the enterprise's incident response process includes routine incident response exercises by reviewing GV52</t>
  </si>
  <si>
    <t>Determine whether the documentation for exercises outlines test communication channels</t>
  </si>
  <si>
    <t>Determine whether the documentation for exercises outlines decision-making</t>
  </si>
  <si>
    <t>Determine whether the documentation for exercises outlines workflows</t>
  </si>
  <si>
    <t>Timeframe since the last exercise or test in months</t>
  </si>
  <si>
    <t>Compare Date of last exercise or test to the current date and capture the timeframe in months</t>
  </si>
  <si>
    <t>The percentage of components included in the documentation for incident response exercises</t>
  </si>
  <si>
    <t>Safeguard 17.07 Final Score</t>
  </si>
  <si>
    <t>If element does not exist, Safeguard receives a "0" score | If M3&gt;12 Safeguard receives a "0" score</t>
  </si>
  <si>
    <t>Determine whether the enterprise's incident response process includes post-incident reviews by reviewing GV52</t>
  </si>
  <si>
    <t>determine if post-incident reviews include, at a minimum, the following components: lessons learned and follow-up actions</t>
  </si>
  <si>
    <t>determine if post-incident reviews include lessons learned</t>
  </si>
  <si>
    <t>determine if post-incident reviews include follow-up actions</t>
  </si>
  <si>
    <t>The percentage of components included in post-incident reviews during Incident response exercises</t>
  </si>
  <si>
    <t>Safeguard 17.08 Final Score</t>
  </si>
  <si>
    <t>If element does not exist, Safeguard receives a "0" score</t>
  </si>
  <si>
    <t>Determine whether the enterprise documents security incident threshold by reviewing GV52</t>
  </si>
  <si>
    <t>Count of components included in the documentation</t>
  </si>
  <si>
    <t>Determine whether the documentation outlines differentiating between incident and event</t>
  </si>
  <si>
    <t>Determine whether the documentation outlines prioritization schema based on known or potential impact</t>
  </si>
  <si>
    <t>Determine whether the documentation outlines a procedure relying on this schema is used to determine status update frequency during incident handling</t>
  </si>
  <si>
    <t>Determine whether the documentation outlines a procedure used to determine escalation paths during incident handling</t>
  </si>
  <si>
    <t>The percentage of components included in the documentation for security incident thresholds</t>
  </si>
  <si>
    <t>Safeguard 17.09 Final Score</t>
  </si>
  <si>
    <t>Control 18: Penetration Testing</t>
  </si>
  <si>
    <t>Determined weather the enterprise maintains Penetration Testing Program Documentation (GV53)</t>
  </si>
  <si>
    <t>Sum of Penetration Testing Program Documentation (GV53) completeness</t>
  </si>
  <si>
    <t>Penetration Testing Program Documentation (GV53) includes the Scope of the Program</t>
  </si>
  <si>
    <t>Penetration Testing Program Documentation (GV53) includes the frequency of testing</t>
  </si>
  <si>
    <t>Penetration Testing Program Documentation (GV53) includes point of contact information</t>
  </si>
  <si>
    <t>Penetration Testing Program Documentation (GV53) includes the remediation requirements</t>
  </si>
  <si>
    <t>Penetration Testing Program Documentation (GV53) includes retrospective requirements.</t>
  </si>
  <si>
    <t>Timeframe in months since the last update to the documentation</t>
  </si>
  <si>
    <t>The percentage of minimum components included in the program documentation</t>
  </si>
  <si>
    <t>Safeguard 18.01 Final Score</t>
  </si>
  <si>
    <t>If GV53 is not provided, Safeguard receives a "0" score | If M3&gt;[defined timeframe] Safeguard score is "0" or reduced</t>
  </si>
  <si>
    <t>Timeframe since the last external penetration test (GV54)</t>
  </si>
  <si>
    <t>Safeguard 18.02 Final Score</t>
  </si>
  <si>
    <t>If M1 is greater than twelve months, then this Safeguard is measured at a 0 and receives a failing score.</t>
  </si>
  <si>
    <t>Count of initial vulnerabilities identified by a penetration test</t>
  </si>
  <si>
    <t>Use the findings in "External Penetration report prior to most recent report" (Input 3) to identify and enumerate the vulnerabilities outlined</t>
  </si>
  <si>
    <t>Count of successfully remediated vulnerabilities</t>
  </si>
  <si>
    <t>Identify and enumerate vulnerabilities found in Input 3 that continue to be in Most recent External Penetration Report (GV54)</t>
  </si>
  <si>
    <t>Count of vulnerabilities that have not been remediated</t>
  </si>
  <si>
    <t>Identify and enumerate vulnerabilities found in Input 3 that no longer appear in GV54</t>
  </si>
  <si>
    <t>Count of unremediated vulnerabilities still in scope</t>
  </si>
  <si>
    <t>Identify and enumerate vulnerabilities within scope</t>
  </si>
  <si>
    <t>Count of unremediated vulnerabilities out of scope</t>
  </si>
  <si>
    <t>Identify and enumerate vulnerabilities out of scope</t>
  </si>
  <si>
    <t>The percent of successfully remediated or still within scope vulnerabilities identified in the initial penetration test findings.</t>
  </si>
  <si>
    <t>Safeguard 18.03 Final Score</t>
  </si>
  <si>
    <t>Check GV53 to determine if it includes an enterprise process for validating security measures after a penetration test</t>
  </si>
  <si>
    <t>Count of security measures requiring modification</t>
  </si>
  <si>
    <t>Using the findings from both GV54 and GV55, as applicable, identify and enumerate security measures that are required modification</t>
  </si>
  <si>
    <t>Count of security measures requiring modification that are properly addressed</t>
  </si>
  <si>
    <t>Identify and enumerate security measures that have been modified per the enterprise's defined process</t>
  </si>
  <si>
    <t>Count of security measures requiring modification that are not yet addressed</t>
  </si>
  <si>
    <t>Identify and enumerate security measures not yet modified per the enterprise's defined process</t>
  </si>
  <si>
    <t>The percentage of security measures requiring modification that have been properly addressed.</t>
  </si>
  <si>
    <t>Safeguard 18.04 Final Score</t>
  </si>
  <si>
    <t>Timeframe since the last internal penetration test (GV55)</t>
  </si>
  <si>
    <t>Check GV55 for the date of the most recent internal penetration test. Compare the date to the current date and capture the timeframe in months</t>
  </si>
  <si>
    <t>Safeguard 18.05 Final Score</t>
  </si>
  <si>
    <t>Control #: Control Title</t>
  </si>
  <si>
    <t>https://cas8.docs.cisecurity.org/en/latest/source/</t>
  </si>
  <si>
    <t>#.##</t>
  </si>
  <si>
    <t>NOTES:</t>
  </si>
  <si>
    <t>IG0</t>
  </si>
  <si>
    <t>Group</t>
  </si>
  <si>
    <t>Provide Partial Credit for "Overdue" Governance Items:</t>
  </si>
  <si>
    <t>Governance Document Update/Review Target (months):</t>
  </si>
  <si>
    <t>Provide Partial Credit for "Overdue" Inventory Items:</t>
  </si>
  <si>
    <t>Overrides zero scores for out-of-date items and adjusts score by half</t>
  </si>
  <si>
    <t>Overrides zero scores for out-of-date items and adjusts score by [Assessment Target minus 1%]</t>
  </si>
  <si>
    <t>Months since Last Update to Vulnerability Management Process</t>
  </si>
  <si>
    <t>The remediation process requires that vulnerabilities be reviewed on at least a monthly basis</t>
  </si>
  <si>
    <t>If GV01 is not provided, Safeguard receives a "0" score | If not updated in the last 6 months, Safeguard receives a "0" or reduced score</t>
  </si>
  <si>
    <t>If M1 = "0" Safeguard receives a "0" score | If M4 &gt; 6, Safeguard receives a "0" or reduced score</t>
  </si>
  <si>
    <t>The percentage of authorized software that is: currently supported OR is unsupported but has a documented exception  | If M7 &gt; 4, Safeguard receives a "0" or reduced score</t>
  </si>
  <si>
    <t>(Partial Completeness Score * 0.5) + Completeness Score | If GV11 is not provided this Safeguard receives a failing score | If M8 is greater than 12, Safeguard receives a "0" or reduced score</t>
  </si>
  <si>
    <t>If GV22 is not provided, Safeguard receives a "0" score | If M9 &gt; 3, Safeguard receives a "0" or reduced score</t>
  </si>
  <si>
    <t>If M9 &gt; 12, Safeguard receives a "0" or reduced score</t>
  </si>
  <si>
    <t>If M6 &gt; 12, Safeguard receives a "0" or reduced score.</t>
  </si>
  <si>
    <t>If process is not provided, Safeguard receives a "0" score</t>
  </si>
  <si>
    <t>Determine if  Enterprise Network Architecture Documentation exists (GV04)</t>
  </si>
  <si>
    <t>If GV04 is not provided, Safeguard receives a "0" score | If M2 &gt; 12, Safeguard receives a "0" or reduced score</t>
  </si>
  <si>
    <t>If M1 is a 0, this Safeguard receives a failing score | If M7 &gt; 12, Safeguard receives a "0" or reduced score</t>
  </si>
  <si>
    <t>If M1 is a 0, this Safeguard receives a failing score | If M2 &gt; 12, Safeguard receives a "0" or reduced score</t>
  </si>
  <si>
    <t>If Inventory is not provided, Safeguard receives a "0" score | If M3 &gt; 12, Safeguard receives a "0" or reduced score</t>
  </si>
  <si>
    <t>Count of assets within scope for automated backups (GV33)</t>
  </si>
  <si>
    <t>Count of in-scope assets with authorized backup software installed (GV34)</t>
  </si>
  <si>
    <t>For each asset in GV01 identify and enumerate assets that are in-scope for automated backups</t>
  </si>
  <si>
    <t>Identify and enumerate assets covered by at least one authorized backup software</t>
  </si>
  <si>
    <t>Safeguard Scoring Incomplete</t>
  </si>
  <si>
    <t>Agency Score</t>
  </si>
  <si>
    <t>Enterprise Average</t>
  </si>
  <si>
    <t>Overall Assessment Completion</t>
  </si>
  <si>
    <t>1.01 M1.a</t>
  </si>
  <si>
    <t>Count of leasable IP addresses within Enterprise Subnet</t>
  </si>
  <si>
    <t>Enumerate all IP subnets configured as leasable (IPAM)</t>
  </si>
  <si>
    <t>Count of leasable IP addresses scanned by Enterprise Asset Discovery Tools</t>
  </si>
  <si>
    <t>Enumerate all IP subnets scanned</t>
  </si>
  <si>
    <t>IP Address Discovery Coverage</t>
  </si>
  <si>
    <t>Tool Compliance Ratio</t>
  </si>
  <si>
    <t>Discovery Coverage is calculated based on leasable IP rather than discovered assets, "compliance" calculation has a default of 69%.</t>
  </si>
  <si>
    <t>Enumerate all MFA Mechanisms for Remote Access in use by the organization</t>
  </si>
  <si>
    <t>Count of MFA Mechanisms for Remote Access properly configured to require MFA</t>
  </si>
  <si>
    <t>Count of MFA Mechanisms for Remote Access not properly configured to require MFA</t>
  </si>
  <si>
    <t>For each asset capable of supporting DNS filtering, check to see if a Configuration Standard (GV03.d) is applied to support authorized DNS filtering services.  Identify and enumerate assets properly configured</t>
  </si>
  <si>
    <t>Enumerate the encryption software that is properly configured by verifying a Configuration Standard (GV03.c) is applied to all encryption software in use.</t>
  </si>
  <si>
    <t>Count of accounts in Discovery</t>
  </si>
  <si>
    <t>5.01 M6</t>
  </si>
  <si>
    <t>1 - (M6 / M3)</t>
  </si>
  <si>
    <t>The percentage of dormant accounts discovered.</t>
  </si>
  <si>
    <t>Count of operating systems installed on enterprise assets</t>
  </si>
  <si>
    <t>Safeguard 7.02 Final Score</t>
  </si>
  <si>
    <t>Count of applications installed on enterprise assets</t>
  </si>
  <si>
    <t>Identify and enumerate operating systems that are not up to date</t>
  </si>
  <si>
    <t>Identify the operating system currently running on each asset</t>
  </si>
  <si>
    <t>Identify the applications currently running on each asset</t>
  </si>
  <si>
    <t>Identify and enumerate applications that are not up to date</t>
  </si>
  <si>
    <t>If GV01 is not provided or M3 is greater than 1 day, Safeguard receives a "0" score</t>
  </si>
  <si>
    <t>Defined Timeframe, in days, For Resolution of Discovered Unauthorized Software</t>
  </si>
  <si>
    <t>Count of Unauthorized Software With a "First Discovered" Date that Exceeds The Allowable Timeframe for resolution of discovered unauthorized software</t>
  </si>
  <si>
    <t>Statewide Standards CM-8(3): "remove or quarantine unauthorized components … when detected"</t>
  </si>
  <si>
    <t>If M4 &gt; 1, Safeguard receives a "0" score</t>
  </si>
  <si>
    <t>Includes process for granting access upon role change</t>
  </si>
  <si>
    <t>Includes process for revoking access upon role change</t>
  </si>
  <si>
    <t>If elapsed time between reviews is greater than 7 days, Safeguard receives a "0" score</t>
  </si>
  <si>
    <t>Count of enterprise assets capable of supporting DNS filtering from GV01</t>
  </si>
  <si>
    <t>Count of assets properly configured to support DNS filtering</t>
  </si>
  <si>
    <t>Count of assets not properly configured to support DNS filtering</t>
  </si>
  <si>
    <t>Review service provider inventory and determine if it includes service provider name</t>
  </si>
  <si>
    <t>Review service provider inventory and determine if it includes the following components: service provider name, classification of provider, and an enterprise contact for the provider.</t>
  </si>
  <si>
    <t>Completion Date:</t>
  </si>
  <si>
    <t>Remediation
Plan</t>
  </si>
  <si>
    <t>Milestones</t>
  </si>
  <si>
    <t>Status</t>
  </si>
  <si>
    <t>POAM ID</t>
  </si>
  <si>
    <t>Finding</t>
  </si>
  <si>
    <t>Recommended
Remediation</t>
  </si>
  <si>
    <t>Assessed Score</t>
  </si>
  <si>
    <t>Issue Date</t>
  </si>
  <si>
    <t>Recommended
Remediation
Date</t>
  </si>
  <si>
    <t>Agency Internal
Point of Contact</t>
  </si>
  <si>
    <t>Planned
Milestones</t>
  </si>
  <si>
    <t>Internal Comments</t>
  </si>
  <si>
    <t>Dependency</t>
  </si>
  <si>
    <t>Supporting
Documents</t>
  </si>
  <si>
    <t>Date
Closed</t>
  </si>
  <si>
    <t>Unique Identifier for each POAM Item [Agency]</t>
  </si>
  <si>
    <t>Applicable
Control [EIS]</t>
  </si>
  <si>
    <t>Brief Description of Finding [EIS]</t>
  </si>
  <si>
    <t>Proposed Remediation Action [EIS]</t>
  </si>
  <si>
    <t>Assigned Criticality [EIS]</t>
  </si>
  <si>
    <t>Safeguard Score at the Time of Assessment [EIS]</t>
  </si>
  <si>
    <t>Date Finding was Issued [EIS]</t>
  </si>
  <si>
    <t>Calculated based on Criticality [EIS]</t>
  </si>
  <si>
    <t>Agency Personnel assigned to POAM [Agency]</t>
  </si>
  <si>
    <t>Overall plan to Remediate Deficiency [Agency]</t>
  </si>
  <si>
    <t>Planned Milestones with Projected Completion Dates [Agency]</t>
  </si>
  <si>
    <t>Internal Agency Comments [Agency]</t>
  </si>
  <si>
    <t>Description of any Dependencies [Agency]</t>
  </si>
  <si>
    <t>List any Supporting Documents [Agency]</t>
  </si>
  <si>
    <t>Date Remediation Actions Completed [Agency]</t>
  </si>
  <si>
    <t>AGCY-0101</t>
  </si>
  <si>
    <t>Agency's consolidated Asset Inventory contained 1861 deployed items with nearly all expected attributes enumerated.  Comparison of Defender and Tenable data with inventory found 288 assets not listed by agency.</t>
  </si>
  <si>
    <t>Agency should leverage its existing hardware asset management tools to develop and maintain an authoritative inventory of all authorized devices with the potential to receive, store, or process data. The inventory should include: End-user devices (including mobile devices), network devices that the organization manages, IoT devices that the organization manages, and servers. For each device, the inventory should document the network address (if static), hardware (MAC) address, machine name, data asset owner, department, and whether the asset has been approved to connect to the network. The inventory should be reviewed for accuracy and updated, at a minimum, bi-annually.
Once Agency has documented its authorized hardware asset inventory, it should periodically compare output from its asset inventory tools to its authorized hardware asset inventory to review for unauthorized devices.</t>
  </si>
  <si>
    <t>Critical</t>
  </si>
  <si>
    <t>Butch Cassidy</t>
  </si>
  <si>
    <t>Create asset inventory</t>
  </si>
  <si>
    <t>(01) 2025-01-10: Extract full inventory of all systems. (COMPLETE)
(02) 2025-01-15: Evaluate assets for approval. (COMPLETE)
(03) 2025-01-31: Develop procedure to update inventory. (COMPLETE)</t>
  </si>
  <si>
    <t>Working with BSA and ASCIO-supplied template</t>
  </si>
  <si>
    <t>AssetInventory.xlsx</t>
  </si>
  <si>
    <t>The percent of applications covered by at least one automated patch management software</t>
  </si>
  <si>
    <r>
      <t xml:space="preserve">Calculation evaluates </t>
    </r>
    <r>
      <rPr>
        <b/>
        <sz val="11"/>
        <color theme="1"/>
        <rFont val="Calibri"/>
        <family val="2"/>
        <scheme val="minor"/>
      </rPr>
      <t>discovered accounts</t>
    </r>
    <r>
      <rPr>
        <sz val="11"/>
        <color theme="1"/>
        <rFont val="Calibri"/>
        <family val="2"/>
        <scheme val="minor"/>
      </rPr>
      <t xml:space="preserve"> rather than the </t>
    </r>
    <r>
      <rPr>
        <b/>
        <sz val="11"/>
        <color theme="1"/>
        <rFont val="Calibri"/>
        <family val="2"/>
        <scheme val="minor"/>
      </rPr>
      <t>"Authorized Account Inventory"</t>
    </r>
  </si>
  <si>
    <t>NOTE: Full descriptions of Artifacts, including necessary elements, can be found in the linked CSS Assessments Artifact Request</t>
  </si>
  <si>
    <t>(M2 / M1) * (M2a:M2h) / 8</t>
  </si>
  <si>
    <r>
      <t xml:space="preserve">"1" if yes </t>
    </r>
    <r>
      <rPr>
        <b/>
        <sz val="11"/>
        <color theme="1"/>
        <rFont val="Calibri"/>
        <family val="2"/>
        <scheme val="minor"/>
      </rPr>
      <t>or Defender Firewall in on</t>
    </r>
    <r>
      <rPr>
        <sz val="11"/>
        <color theme="1"/>
        <rFont val="Calibri"/>
        <family val="2"/>
        <scheme val="minor"/>
      </rPr>
      <t>, "0" if no | HKLM\SOFTWARE\Policies\Microsoft\WindowsFirewall\PublicProfile:EnableFirewall</t>
    </r>
  </si>
  <si>
    <r>
      <t xml:space="preserve">"1" if yes </t>
    </r>
    <r>
      <rPr>
        <b/>
        <sz val="11"/>
        <color theme="1"/>
        <rFont val="Calibri"/>
        <family val="2"/>
        <scheme val="minor"/>
      </rPr>
      <t>or Defender Firewall is on</t>
    </r>
    <r>
      <rPr>
        <sz val="11"/>
        <color theme="1"/>
        <rFont val="Calibri"/>
        <family val="2"/>
        <scheme val="minor"/>
      </rPr>
      <t>, "0" if no | HKLM\SOFTWARE\Policies\Microsoft\WindowsFirewall\PrivateProfile:EnableFirewall</t>
    </r>
  </si>
  <si>
    <r>
      <t xml:space="preserve">"1" if yes </t>
    </r>
    <r>
      <rPr>
        <b/>
        <sz val="11"/>
        <color theme="1"/>
        <rFont val="Calibri"/>
        <family val="2"/>
        <scheme val="minor"/>
      </rPr>
      <t>or Defender Firewall is on</t>
    </r>
    <r>
      <rPr>
        <sz val="11"/>
        <color theme="1"/>
        <rFont val="Calibri"/>
        <family val="2"/>
        <scheme val="minor"/>
      </rPr>
      <t>, "0" if no | HKLM\SOFTWARE\Policies\Microsoft\WindowsFirewall\DomainProfile:EnableFirewall</t>
    </r>
  </si>
  <si>
    <t>Agency Audit Log Management Process (inherited from Enterprise)</t>
  </si>
  <si>
    <t>Agency Data Classification Scheme</t>
  </si>
  <si>
    <t>Enterprise Data Classification Scheme (AD13)</t>
  </si>
  <si>
    <t>Count of months since date provided for AD13</t>
  </si>
  <si>
    <t>M2 / (M1*3)</t>
  </si>
  <si>
    <t>Sum of properly configured settings to disable autorun/autoplay functions</t>
  </si>
  <si>
    <t>Count of Assets properly configured to disable MTP Autoplay</t>
  </si>
  <si>
    <t>Policy Setting SOFTWARE\Policies\Microsoft\Windows\Explorer|NoAutoplayfornonVolume or Defender SCID-67</t>
  </si>
  <si>
    <t>Count of Assets properly configured to disable Autoplay on all drives</t>
  </si>
  <si>
    <t>Policy Setting SOFTWARE\Microsoft\Windows\CurrentVersion\Policies\Explorer|NoAutorun or Defender SCID-69</t>
  </si>
  <si>
    <t>Count of Assets properly configured to disable Autorun</t>
  </si>
  <si>
    <t>Policy Setting Software\Microsoft\Windows\CurrentVersion\Policies\Explorer|NoDriveTypeAutoRun or Defender SCID-70</t>
  </si>
  <si>
    <t>Use Sampled Assets to identify and enumerate enterprise assets capable of performing autorun, autoplay, and auto-execute functions</t>
  </si>
  <si>
    <t>Improperly configured settings: (M1*3) - M2</t>
  </si>
  <si>
    <t>Count of improperly configured Autoplay/Autorun settings</t>
  </si>
  <si>
    <t>M3 / M1 (result will be "0" when scored using GPO settings)</t>
  </si>
  <si>
    <t>M2 / M1 (result will be "0" when scored using GPO settings)</t>
  </si>
  <si>
    <t>https://cas.docs.cisecurity.org/en/latest/source/Controls1/</t>
  </si>
  <si>
    <t>https://cas.docs.cisecurity.org/en/latest/source/Controls2/</t>
  </si>
  <si>
    <t>https://cas.docs.cisecurity.org/en/latest/source/Controls3/</t>
  </si>
  <si>
    <t>https://cas.docs.cisecurity.org/en/latest/source/Controls4/</t>
  </si>
  <si>
    <t>https://cas.docs.cisecurity.org/en/latest/source/Controls5/</t>
  </si>
  <si>
    <t>https://cas.docs.cisecurity.org/en/latest/source/Controls6/</t>
  </si>
  <si>
    <t>https://cas.docs.cisecurity.org/en/latest/source/Controls7/</t>
  </si>
  <si>
    <t>https://cas.docs.cisecurity.org/en/latest/source/Controls8/</t>
  </si>
  <si>
    <t>https://cas.docs.cisecurity.org/en/latest/source/Controls9/</t>
  </si>
  <si>
    <t>https://cas.docs.cisecurity.org/en/latest/source/Controls10/</t>
  </si>
  <si>
    <t>https://cas.docs.cisecurity.org/en/latest/source/Controls11/</t>
  </si>
  <si>
    <t>https://cas.docs.cisecurity.org/en/latest/source/Controls12/</t>
  </si>
  <si>
    <t>https://cas.docs.cisecurity.org/en/latest/source/Controls13/</t>
  </si>
  <si>
    <t>https://cas.docs.cisecurity.org/en/latest/source/Controls14/</t>
  </si>
  <si>
    <t>https://cas.docs.cisecurity.org/en/latest/source/Controls15/</t>
  </si>
  <si>
    <t>https://cas.docs.cisecurity.org/en/latest/source/Controls16/</t>
  </si>
  <si>
    <t>https://cas.docs.cisecurity.org/en/latest/source/Controls17/</t>
  </si>
  <si>
    <t>https://cas.docs.cisecurity.org/en/latest/source/Controls18/</t>
  </si>
  <si>
    <r>
      <t xml:space="preserve">Aligns with CIS-CAS.  Score Can be adjusted to allow for Partial Credit for </t>
    </r>
    <r>
      <rPr>
        <b/>
        <sz val="11"/>
        <color theme="1"/>
        <rFont val="Calibri"/>
        <family val="2"/>
        <scheme val="minor"/>
      </rPr>
      <t>"Overdue"</t>
    </r>
    <r>
      <rPr>
        <sz val="11"/>
        <color theme="1"/>
        <rFont val="Calibri"/>
        <family val="2"/>
        <scheme val="minor"/>
      </rPr>
      <t xml:space="preserve"> Items</t>
    </r>
  </si>
  <si>
    <r>
      <t xml:space="preserve">Calculated based on </t>
    </r>
    <r>
      <rPr>
        <b/>
        <sz val="11"/>
        <color theme="1"/>
        <rFont val="Calibri"/>
        <family val="2"/>
        <scheme val="minor"/>
      </rPr>
      <t>intalled</t>
    </r>
    <r>
      <rPr>
        <sz val="11"/>
        <color theme="1"/>
        <rFont val="Calibri"/>
        <family val="2"/>
        <scheme val="minor"/>
      </rPr>
      <t xml:space="preserve"> vs </t>
    </r>
    <r>
      <rPr>
        <b/>
        <sz val="11"/>
        <color theme="1"/>
        <rFont val="Calibri"/>
        <family val="2"/>
        <scheme val="minor"/>
      </rPr>
      <t>authorized</t>
    </r>
    <r>
      <rPr>
        <sz val="11"/>
        <color theme="1"/>
        <rFont val="Calibri"/>
        <family val="2"/>
        <scheme val="minor"/>
      </rPr>
      <t xml:space="preserve"> operating systems.  Score can be adjusted to allow for Partial Credit for </t>
    </r>
    <r>
      <rPr>
        <b/>
        <sz val="11"/>
        <color theme="1"/>
        <rFont val="Calibri"/>
        <family val="2"/>
        <scheme val="minor"/>
      </rPr>
      <t>"Missing"</t>
    </r>
    <r>
      <rPr>
        <sz val="11"/>
        <color theme="1"/>
        <rFont val="Calibri"/>
        <family val="2"/>
        <scheme val="minor"/>
      </rPr>
      <t xml:space="preserve"> Items.  Overall score calculation </t>
    </r>
    <r>
      <rPr>
        <u/>
        <sz val="11"/>
        <color theme="1"/>
        <rFont val="Calibri"/>
        <family val="2"/>
        <scheme val="minor"/>
      </rPr>
      <t xml:space="preserve">does not include </t>
    </r>
    <r>
      <rPr>
        <sz val="11"/>
        <color theme="1"/>
        <rFont val="Calibri"/>
        <family val="2"/>
        <scheme val="minor"/>
      </rPr>
      <t>"The percent of operating systems covered by at least one automated patch management software" or "The percent of automated patch management software configured to run every 30 days or less"</t>
    </r>
  </si>
  <si>
    <r>
      <t xml:space="preserve">Calculated based on </t>
    </r>
    <r>
      <rPr>
        <b/>
        <sz val="11"/>
        <color theme="1"/>
        <rFont val="Calibri"/>
        <family val="2"/>
        <scheme val="minor"/>
      </rPr>
      <t>intalled</t>
    </r>
    <r>
      <rPr>
        <sz val="11"/>
        <color theme="1"/>
        <rFont val="Calibri"/>
        <family val="2"/>
        <scheme val="minor"/>
      </rPr>
      <t xml:space="preserve"> vs </t>
    </r>
    <r>
      <rPr>
        <b/>
        <sz val="11"/>
        <color theme="1"/>
        <rFont val="Calibri"/>
        <family val="2"/>
        <scheme val="minor"/>
      </rPr>
      <t>authorized</t>
    </r>
    <r>
      <rPr>
        <sz val="11"/>
        <color theme="1"/>
        <rFont val="Calibri"/>
        <family val="2"/>
        <scheme val="minor"/>
      </rPr>
      <t xml:space="preserve"> applications.  Score can be adjusted to allow for Partial Credit for </t>
    </r>
    <r>
      <rPr>
        <b/>
        <sz val="11"/>
        <color theme="1"/>
        <rFont val="Calibri"/>
        <family val="2"/>
        <scheme val="minor"/>
      </rPr>
      <t>"Missing"</t>
    </r>
    <r>
      <rPr>
        <sz val="11"/>
        <color theme="1"/>
        <rFont val="Calibri"/>
        <family val="2"/>
        <scheme val="minor"/>
      </rPr>
      <t xml:space="preserve"> Items.  Overall score calculation </t>
    </r>
    <r>
      <rPr>
        <u/>
        <sz val="11"/>
        <color theme="1"/>
        <rFont val="Calibri"/>
        <family val="2"/>
        <scheme val="minor"/>
      </rPr>
      <t xml:space="preserve">does not include </t>
    </r>
    <r>
      <rPr>
        <sz val="11"/>
        <color theme="1"/>
        <rFont val="Calibri"/>
        <family val="2"/>
        <scheme val="minor"/>
      </rPr>
      <t>"The percent of operating systems covered by at least one automated patch management software" or "The percent of automated patch management software configured to run every 1 month or less"</t>
    </r>
  </si>
  <si>
    <r>
      <t xml:space="preserve">Aligns with CIS-CAS.  Score can be adjusted to allow for Partial Credit for </t>
    </r>
    <r>
      <rPr>
        <b/>
        <sz val="11"/>
        <color theme="1"/>
        <rFont val="Calibri"/>
        <family val="2"/>
        <scheme val="minor"/>
      </rPr>
      <t>"Missing"</t>
    </r>
    <r>
      <rPr>
        <sz val="11"/>
        <color theme="1"/>
        <rFont val="Calibri"/>
        <family val="2"/>
        <scheme val="minor"/>
      </rPr>
      <t xml:space="preserve"> Items.  Overall score calculation </t>
    </r>
    <r>
      <rPr>
        <u/>
        <sz val="11"/>
        <color theme="1"/>
        <rFont val="Calibri"/>
        <family val="2"/>
        <scheme val="minor"/>
      </rPr>
      <t xml:space="preserve">does not include </t>
    </r>
    <r>
      <rPr>
        <sz val="11"/>
        <color theme="1"/>
        <rFont val="Calibri"/>
        <family val="2"/>
        <scheme val="minor"/>
      </rPr>
      <t>"The percentage of vulnerability scanners properly configured to scan every 1 month or less" or "The percentage of authenticated vulnerability scanners properly configured to scan every 1 month or less"</t>
    </r>
  </si>
  <si>
    <r>
      <t xml:space="preserve">Aligns with CIS-CAS.  Score can be adjusted to allow for Partial Credit for </t>
    </r>
    <r>
      <rPr>
        <b/>
        <sz val="11"/>
        <color theme="1"/>
        <rFont val="Calibri"/>
        <family val="2"/>
        <scheme val="minor"/>
      </rPr>
      <t>"Missing"</t>
    </r>
    <r>
      <rPr>
        <sz val="11"/>
        <color theme="1"/>
        <rFont val="Calibri"/>
        <family val="2"/>
        <scheme val="minor"/>
      </rPr>
      <t xml:space="preserve"> Items.  Overall score calculation </t>
    </r>
    <r>
      <rPr>
        <u/>
        <sz val="11"/>
        <color theme="1"/>
        <rFont val="Calibri"/>
        <family val="2"/>
        <scheme val="minor"/>
      </rPr>
      <t xml:space="preserve">does not include </t>
    </r>
    <r>
      <rPr>
        <sz val="11"/>
        <color theme="1"/>
        <rFont val="Calibri"/>
        <family val="2"/>
        <scheme val="minor"/>
      </rPr>
      <t>"The percentage of vulnerability scanners properly configured to scan every 1 month or less"</t>
    </r>
  </si>
  <si>
    <r>
      <t xml:space="preserve">Calculation does not include "pass/fail" on GV01. Score can be adjusted to allow for Partial Credit for </t>
    </r>
    <r>
      <rPr>
        <b/>
        <sz val="11"/>
        <color theme="1"/>
        <rFont val="Calibri"/>
        <family val="2"/>
        <scheme val="minor"/>
      </rPr>
      <t>"Overdue"</t>
    </r>
    <r>
      <rPr>
        <sz val="11"/>
        <color theme="1"/>
        <rFont val="Calibri"/>
        <family val="2"/>
        <scheme val="minor"/>
      </rPr>
      <t xml:space="preserve"> Items</t>
    </r>
  </si>
  <si>
    <r>
      <t xml:space="preserve">Aligns with CIS-CAS.  Score can be adjusted to allow for Partial Credit for </t>
    </r>
    <r>
      <rPr>
        <b/>
        <sz val="11"/>
        <color theme="1"/>
        <rFont val="Calibri"/>
        <family val="2"/>
        <scheme val="minor"/>
      </rPr>
      <t>"Overdue"</t>
    </r>
    <r>
      <rPr>
        <sz val="11"/>
        <color theme="1"/>
        <rFont val="Calibri"/>
        <family val="2"/>
        <scheme val="minor"/>
      </rPr>
      <t xml:space="preserve"> Items</t>
    </r>
  </si>
  <si>
    <t>Criticality weightings are derived from two factors:
1. The number of dependent Safeguards defined within the Controls Assessment Specification
2. The number of mitigations defined within the Community Defense Model</t>
  </si>
  <si>
    <t>CIS CAS Overall Average Score</t>
  </si>
  <si>
    <t>M2 / (M1.a*4)</t>
  </si>
  <si>
    <t>Count of devices in the DHCP server logs</t>
  </si>
  <si>
    <t>CMBD Updating Accuracy</t>
  </si>
  <si>
    <t>M6 / M7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</si>
</sst>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yy"/>
    <numFmt numFmtId="165" formatCode="0.0%"/>
    <numFmt numFmtId="166" formatCode="0.00000000000000%"/>
    <numFmt numFmtId="167" formatCode="0.000"/>
    <numFmt numFmtId="168" formatCode="00.00"/>
  </numFmts>
  <fonts count="16" x14ac:knownFonts="1">
    <font>
      <sz val="11"/>
      <color theme="1"/>
      <name val="Calibri"/>
      <family val="2"/>
      <scheme val="minor"/>
    </font>
    <font>
      <b/>
      <sz val="12"/>
      <color theme="1"/>
      <name val="Calibri"/>
      <family val="2"/>
      <scheme val="minor"/>
    </font>
    <font>
      <b/>
      <i/>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sz val="11"/>
      <color theme="0" tint="-0.499984740745262"/>
      <name val="Calibri"/>
      <family val="2"/>
      <scheme val="minor"/>
    </font>
    <font>
      <sz val="11"/>
      <name val="Calibri"/>
      <family val="2"/>
      <scheme val="minor"/>
    </font>
    <font>
      <u/>
      <sz val="11"/>
      <color theme="1"/>
      <name val="Calibri"/>
      <family val="2"/>
      <scheme val="minor"/>
    </font>
    <font>
      <b/>
      <sz val="16"/>
      <color theme="1"/>
      <name val="Calibri"/>
      <family val="2"/>
      <scheme val="minor"/>
    </font>
    <font>
      <sz val="9"/>
      <color theme="1"/>
      <name val="Calibri"/>
      <family val="2"/>
      <scheme val="minor"/>
    </font>
    <font>
      <sz val="11"/>
      <color theme="1" tint="0.499984740745262"/>
      <name val="Calibri"/>
      <family val="2"/>
      <scheme val="minor"/>
    </font>
    <font>
      <sz val="10"/>
      <color rgb="FF404040"/>
      <name val="Arial"/>
      <family val="2"/>
    </font>
    <font>
      <i/>
      <sz val="11"/>
      <color theme="1"/>
      <name val="Calibri"/>
      <family val="2"/>
      <scheme val="minor"/>
    </font>
    <font>
      <b/>
      <sz val="8"/>
      <color theme="1"/>
      <name val="Calibri"/>
      <family val="2"/>
      <scheme val="minor"/>
    </font>
    <font>
      <sz val="11"/>
      <color rgb="FF000000"/>
      <name val="Calibri"/>
      <family val="2"/>
    </font>
  </fonts>
  <fills count="18">
    <fill>
      <patternFill patternType="none"/>
    </fill>
    <fill>
      <patternFill patternType="gray125"/>
    </fill>
    <fill>
      <patternFill patternType="solid">
        <fgColor theme="1"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tint="-0.499984740745262"/>
        <bgColor indexed="64"/>
      </patternFill>
    </fill>
    <fill>
      <patternFill patternType="solid">
        <fgColor rgb="FFFF0000"/>
        <bgColor indexed="64"/>
      </patternFill>
    </fill>
    <fill>
      <patternFill patternType="solid">
        <fgColor rgb="FFFF6400"/>
        <bgColor indexed="64"/>
      </patternFill>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FFC8C8"/>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CC"/>
        <bgColor rgb="FF000000"/>
      </patternFill>
    </fill>
  </fills>
  <borders count="33">
    <border>
      <left/>
      <right/>
      <top/>
      <bottom/>
      <diagonal/>
    </border>
    <border>
      <left/>
      <right/>
      <top/>
      <bottom style="medium">
        <color indexed="64"/>
      </bottom>
      <diagonal/>
    </border>
    <border>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medium">
        <color indexed="64"/>
      </left>
      <right style="hair">
        <color indexed="64"/>
      </right>
      <top style="hair">
        <color indexed="64"/>
      </top>
      <bottom style="hair">
        <color indexed="64"/>
      </bottom>
      <diagonal/>
    </border>
    <border>
      <left style="dashed">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bottom style="hair">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hair">
        <color indexed="64"/>
      </top>
      <bottom style="hair">
        <color indexed="64"/>
      </bottom>
      <diagonal/>
    </border>
    <border>
      <left style="hair">
        <color indexed="64"/>
      </left>
      <right/>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medium">
        <color indexed="64"/>
      </top>
      <bottom style="hair">
        <color theme="0" tint="-0.499984740745262"/>
      </bottom>
      <diagonal/>
    </border>
    <border>
      <left style="hair">
        <color theme="0" tint="-0.499984740745262"/>
      </left>
      <right style="hair">
        <color theme="0" tint="-0.499984740745262"/>
      </right>
      <top style="hair">
        <color theme="0" tint="-0.499984740745262"/>
      </top>
      <bottom style="medium">
        <color indexed="64"/>
      </bottom>
      <diagonal/>
    </border>
    <border>
      <left/>
      <right/>
      <top style="thick">
        <color auto="1"/>
      </top>
      <bottom style="medium">
        <color auto="1"/>
      </bottom>
      <diagonal/>
    </border>
    <border>
      <left/>
      <right/>
      <top style="medium">
        <color auto="1"/>
      </top>
      <bottom style="thin">
        <color auto="1"/>
      </bottom>
      <diagonal/>
    </border>
  </borders>
  <cellStyleXfs count="2">
    <xf numFmtId="0" fontId="0" fillId="0" borderId="0"/>
    <xf numFmtId="0" fontId="5" fillId="0" borderId="0" applyNumberFormat="0" applyFill="0" applyBorder="0" applyAlignment="0" applyProtection="0"/>
  </cellStyleXfs>
  <cellXfs count="218">
    <xf numFmtId="0" fontId="0" fillId="0" borderId="0" xfId="0"/>
    <xf numFmtId="0" fontId="0" fillId="2" borderId="0" xfId="0" applyFill="1"/>
    <xf numFmtId="0" fontId="0" fillId="2" borderId="0" xfId="0" applyFill="1" applyAlignment="1">
      <alignment horizontal="center"/>
    </xf>
    <xf numFmtId="0" fontId="1" fillId="3" borderId="1" xfId="0" applyFont="1" applyFill="1" applyBorder="1" applyAlignment="1">
      <alignment horizontal="center"/>
    </xf>
    <xf numFmtId="2" fontId="0" fillId="4" borderId="2" xfId="0" applyNumberFormat="1" applyFill="1" applyBorder="1"/>
    <xf numFmtId="0" fontId="0" fillId="4" borderId="3" xfId="0" applyFill="1" applyBorder="1"/>
    <xf numFmtId="0" fontId="0" fillId="4" borderId="3" xfId="0" applyFill="1" applyBorder="1" applyAlignment="1">
      <alignment horizontal="center"/>
    </xf>
    <xf numFmtId="2" fontId="0" fillId="4" borderId="5" xfId="0" applyNumberFormat="1" applyFill="1" applyBorder="1"/>
    <xf numFmtId="0" fontId="0" fillId="4" borderId="6" xfId="0" applyFill="1" applyBorder="1"/>
    <xf numFmtId="0" fontId="0" fillId="4" borderId="6" xfId="0" applyFill="1" applyBorder="1" applyAlignment="1">
      <alignment horizontal="center"/>
    </xf>
    <xf numFmtId="10" fontId="0" fillId="4" borderId="4" xfId="0" applyNumberFormat="1" applyFill="1" applyBorder="1" applyAlignment="1">
      <alignment horizontal="center"/>
    </xf>
    <xf numFmtId="10" fontId="0" fillId="4" borderId="7" xfId="0" applyNumberFormat="1" applyFill="1" applyBorder="1" applyAlignment="1">
      <alignment horizontal="center"/>
    </xf>
    <xf numFmtId="2" fontId="0" fillId="4" borderId="8" xfId="0" applyNumberFormat="1" applyFill="1" applyBorder="1"/>
    <xf numFmtId="0" fontId="0" fillId="4" borderId="9" xfId="0" applyFill="1" applyBorder="1"/>
    <xf numFmtId="0" fontId="0" fillId="4" borderId="9" xfId="0" applyFill="1" applyBorder="1" applyAlignment="1">
      <alignment horizontal="center"/>
    </xf>
    <xf numFmtId="10" fontId="0" fillId="4" borderId="10" xfId="0" applyNumberFormat="1" applyFill="1" applyBorder="1" applyAlignment="1">
      <alignment horizontal="center"/>
    </xf>
    <xf numFmtId="2" fontId="0" fillId="4" borderId="11" xfId="0" applyNumberFormat="1" applyFill="1" applyBorder="1"/>
    <xf numFmtId="0" fontId="0" fillId="4" borderId="12" xfId="0" applyFill="1" applyBorder="1"/>
    <xf numFmtId="0" fontId="0" fillId="4" borderId="12" xfId="0" applyFill="1" applyBorder="1" applyAlignment="1">
      <alignment horizontal="center"/>
    </xf>
    <xf numFmtId="10" fontId="0" fillId="4" borderId="13" xfId="0" applyNumberFormat="1" applyFill="1" applyBorder="1" applyAlignment="1">
      <alignment horizontal="center"/>
    </xf>
    <xf numFmtId="0" fontId="0" fillId="2" borderId="0" xfId="0" applyFill="1" applyAlignment="1">
      <alignment horizontal="center" vertical="top"/>
    </xf>
    <xf numFmtId="0" fontId="0" fillId="2" borderId="0" xfId="0" applyFill="1" applyAlignment="1">
      <alignment horizontal="left" vertical="top"/>
    </xf>
    <xf numFmtId="0" fontId="1" fillId="3" borderId="1" xfId="0" applyFont="1" applyFill="1" applyBorder="1"/>
    <xf numFmtId="0" fontId="0" fillId="5" borderId="6" xfId="0" applyFill="1" applyBorder="1" applyAlignment="1" applyProtection="1">
      <alignment horizontal="center" vertical="top"/>
      <protection locked="0"/>
    </xf>
    <xf numFmtId="164" fontId="0" fillId="5" borderId="7" xfId="0" applyNumberFormat="1" applyFill="1" applyBorder="1" applyAlignment="1" applyProtection="1">
      <alignment horizontal="center" vertical="top"/>
      <protection locked="0"/>
    </xf>
    <xf numFmtId="0" fontId="0" fillId="2" borderId="0" xfId="0" applyFill="1" applyAlignment="1">
      <alignment horizontal="left" vertical="center" wrapText="1"/>
    </xf>
    <xf numFmtId="0" fontId="0" fillId="3" borderId="0" xfId="0" applyFill="1" applyAlignment="1">
      <alignment vertical="center" wrapText="1"/>
    </xf>
    <xf numFmtId="0" fontId="0" fillId="3" borderId="0" xfId="0" applyFill="1" applyAlignment="1">
      <alignment horizontal="center" vertical="center" wrapText="1"/>
    </xf>
    <xf numFmtId="0" fontId="0" fillId="0" borderId="6" xfId="0" applyBorder="1" applyAlignment="1">
      <alignment horizontal="left" vertical="center" wrapText="1"/>
    </xf>
    <xf numFmtId="0" fontId="0" fillId="0" borderId="6" xfId="0" applyBorder="1" applyAlignment="1">
      <alignment horizontal="center" vertical="center" wrapText="1"/>
    </xf>
    <xf numFmtId="0" fontId="0" fillId="6" borderId="6" xfId="0" applyFill="1" applyBorder="1" applyAlignment="1">
      <alignment horizontal="left" vertical="center" wrapText="1"/>
    </xf>
    <xf numFmtId="0" fontId="0" fillId="5" borderId="6" xfId="0" applyFill="1" applyBorder="1" applyAlignment="1" applyProtection="1">
      <alignment horizontal="center" vertical="center" wrapText="1"/>
      <protection locked="0"/>
    </xf>
    <xf numFmtId="0" fontId="0" fillId="5" borderId="6" xfId="0" applyFill="1" applyBorder="1" applyAlignment="1" applyProtection="1">
      <alignment horizontal="left" vertical="center" wrapText="1"/>
      <protection locked="0"/>
    </xf>
    <xf numFmtId="0" fontId="0" fillId="0" borderId="15" xfId="0" applyBorder="1" applyAlignment="1">
      <alignment horizontal="left" vertical="center" wrapText="1"/>
    </xf>
    <xf numFmtId="0" fontId="0" fillId="0" borderId="15" xfId="0" applyBorder="1" applyAlignment="1">
      <alignment horizontal="center" vertical="center" wrapText="1"/>
    </xf>
    <xf numFmtId="0" fontId="0" fillId="6" borderId="0" xfId="0" applyFill="1" applyAlignment="1">
      <alignment horizontal="left" vertical="center" wrapText="1"/>
    </xf>
    <xf numFmtId="1" fontId="0" fillId="0" borderId="15" xfId="0" applyNumberFormat="1" applyBorder="1" applyAlignment="1">
      <alignment horizontal="center" vertical="center" wrapText="1"/>
    </xf>
    <xf numFmtId="0" fontId="0" fillId="6" borderId="19" xfId="0" applyFill="1" applyBorder="1" applyAlignment="1">
      <alignment horizontal="left" vertical="center" wrapText="1"/>
    </xf>
    <xf numFmtId="0" fontId="0" fillId="6" borderId="5" xfId="0" applyFill="1" applyBorder="1" applyAlignment="1">
      <alignment horizontal="left" vertical="center" wrapText="1"/>
    </xf>
    <xf numFmtId="1" fontId="0" fillId="5" borderId="6" xfId="0" applyNumberFormat="1" applyFill="1" applyBorder="1" applyAlignment="1" applyProtection="1">
      <alignment horizontal="center" vertical="center" wrapText="1"/>
      <protection locked="0"/>
    </xf>
    <xf numFmtId="1" fontId="0" fillId="5" borderId="15" xfId="0" applyNumberFormat="1" applyFill="1" applyBorder="1" applyAlignment="1" applyProtection="1">
      <alignment horizontal="center" vertical="center" wrapText="1"/>
      <protection locked="0"/>
    </xf>
    <xf numFmtId="0" fontId="0" fillId="5" borderId="15" xfId="0" applyFill="1" applyBorder="1" applyAlignment="1" applyProtection="1">
      <alignment horizontal="center" vertical="center" wrapText="1"/>
      <protection locked="0"/>
    </xf>
    <xf numFmtId="166" fontId="0" fillId="2" borderId="0" xfId="0" applyNumberFormat="1" applyFill="1"/>
    <xf numFmtId="0" fontId="3" fillId="7" borderId="16" xfId="0" applyFont="1" applyFill="1" applyBorder="1" applyAlignment="1">
      <alignment horizontal="left" vertical="center" wrapText="1"/>
    </xf>
    <xf numFmtId="165" fontId="3" fillId="7" borderId="17" xfId="0" applyNumberFormat="1" applyFont="1" applyFill="1" applyBorder="1" applyAlignment="1">
      <alignment horizontal="center" vertical="center" wrapText="1"/>
    </xf>
    <xf numFmtId="0" fontId="0" fillId="7" borderId="18" xfId="0" applyFill="1" applyBorder="1" applyAlignment="1">
      <alignment horizontal="left" vertical="center" wrapText="1"/>
    </xf>
    <xf numFmtId="165" fontId="0" fillId="7" borderId="17" xfId="0" applyNumberFormat="1" applyFill="1" applyBorder="1" applyAlignment="1">
      <alignment horizontal="center" vertical="center" wrapText="1"/>
    </xf>
    <xf numFmtId="0" fontId="3" fillId="7" borderId="18" xfId="0" applyFont="1" applyFill="1" applyBorder="1" applyAlignment="1">
      <alignment horizontal="left" vertical="center" wrapText="1"/>
    </xf>
    <xf numFmtId="165" fontId="3" fillId="7" borderId="20" xfId="0" applyNumberFormat="1" applyFont="1" applyFill="1" applyBorder="1" applyAlignment="1">
      <alignment horizontal="center" vertical="center" wrapText="1"/>
    </xf>
    <xf numFmtId="0" fontId="0" fillId="7" borderId="21" xfId="0" applyFill="1" applyBorder="1" applyAlignment="1">
      <alignment horizontal="left" vertical="center" wrapText="1"/>
    </xf>
    <xf numFmtId="165" fontId="0" fillId="7" borderId="22" xfId="0" applyNumberFormat="1" applyFill="1" applyBorder="1" applyAlignment="1">
      <alignment horizontal="center" vertical="center" wrapText="1"/>
    </xf>
    <xf numFmtId="0" fontId="0" fillId="2" borderId="0" xfId="0" applyFill="1" applyAlignment="1">
      <alignment horizontal="left" vertical="center"/>
    </xf>
    <xf numFmtId="2" fontId="0" fillId="3" borderId="0" xfId="0" applyNumberFormat="1" applyFill="1" applyAlignment="1">
      <alignment horizontal="left" vertical="center" wrapText="1"/>
    </xf>
    <xf numFmtId="2" fontId="0" fillId="2" borderId="0" xfId="0" applyNumberFormat="1" applyFill="1" applyAlignment="1">
      <alignment horizontal="left" vertical="center" wrapText="1"/>
    </xf>
    <xf numFmtId="2" fontId="0" fillId="2" borderId="0" xfId="0" applyNumberFormat="1" applyFill="1" applyAlignment="1">
      <alignment horizontal="left" vertical="center"/>
    </xf>
    <xf numFmtId="2" fontId="0" fillId="3" borderId="0" xfId="0" quotePrefix="1" applyNumberFormat="1" applyFill="1" applyAlignment="1">
      <alignment horizontal="left" vertical="center" wrapText="1"/>
    </xf>
    <xf numFmtId="0" fontId="0" fillId="2" borderId="0" xfId="0" applyFill="1" applyAlignment="1">
      <alignment horizontal="center" vertical="center"/>
    </xf>
    <xf numFmtId="0" fontId="0" fillId="4" borderId="6" xfId="0" applyFill="1" applyBorder="1" applyAlignment="1">
      <alignment horizontal="center" vertical="center"/>
    </xf>
    <xf numFmtId="0" fontId="0" fillId="5" borderId="6" xfId="0" applyFill="1" applyBorder="1" applyAlignment="1" applyProtection="1">
      <alignment horizontal="center" vertical="center"/>
      <protection locked="0"/>
    </xf>
    <xf numFmtId="0" fontId="0" fillId="4" borderId="15" xfId="0" applyFill="1" applyBorder="1" applyAlignment="1">
      <alignment horizontal="center" vertical="center"/>
    </xf>
    <xf numFmtId="0" fontId="0" fillId="4" borderId="6" xfId="0" applyFill="1" applyBorder="1" applyAlignment="1">
      <alignment horizontal="left" vertical="center"/>
    </xf>
    <xf numFmtId="0" fontId="0" fillId="0" borderId="6" xfId="0" applyBorder="1" applyAlignment="1">
      <alignment horizontal="center" vertical="center"/>
    </xf>
    <xf numFmtId="0" fontId="0" fillId="4" borderId="6" xfId="0" applyFill="1" applyBorder="1" applyAlignment="1">
      <alignment vertical="center" wrapText="1"/>
    </xf>
    <xf numFmtId="0" fontId="0" fillId="4" borderId="15" xfId="0" applyFill="1" applyBorder="1" applyAlignment="1">
      <alignment vertical="center" wrapText="1"/>
    </xf>
    <xf numFmtId="0" fontId="6" fillId="8" borderId="0" xfId="0" applyFont="1" applyFill="1" applyAlignment="1">
      <alignment horizontal="center" vertical="center"/>
    </xf>
    <xf numFmtId="0" fontId="6" fillId="2" borderId="0" xfId="0" applyFont="1" applyFill="1" applyAlignment="1">
      <alignment horizontal="center" vertical="center" wrapText="1"/>
    </xf>
    <xf numFmtId="0" fontId="6" fillId="2" borderId="0" xfId="0" applyFont="1" applyFill="1" applyAlignment="1">
      <alignment horizontal="center" vertical="center"/>
    </xf>
    <xf numFmtId="0" fontId="1" fillId="13" borderId="1" xfId="0" applyFont="1" applyFill="1" applyBorder="1" applyAlignment="1">
      <alignment horizontal="center"/>
    </xf>
    <xf numFmtId="0" fontId="0" fillId="0" borderId="6" xfId="0" applyBorder="1" applyAlignment="1">
      <alignment horizontal="left" vertical="center" wrapText="1" indent="2"/>
    </xf>
    <xf numFmtId="0" fontId="0" fillId="4" borderId="2" xfId="0" applyFill="1" applyBorder="1" applyAlignment="1">
      <alignment horizontal="center" vertical="top"/>
    </xf>
    <xf numFmtId="0" fontId="0" fillId="4" borderId="5" xfId="0" applyFill="1" applyBorder="1" applyAlignment="1">
      <alignment horizontal="center" vertical="top"/>
    </xf>
    <xf numFmtId="0" fontId="0" fillId="4" borderId="6" xfId="0" applyFill="1" applyBorder="1" applyAlignment="1">
      <alignment horizontal="left" vertical="top"/>
    </xf>
    <xf numFmtId="0" fontId="0" fillId="4" borderId="14" xfId="0" applyFill="1" applyBorder="1" applyAlignment="1">
      <alignment horizontal="center" vertical="top"/>
    </xf>
    <xf numFmtId="0" fontId="0" fillId="4" borderId="15" xfId="0" applyFill="1" applyBorder="1" applyAlignment="1">
      <alignment horizontal="left" vertical="top"/>
    </xf>
    <xf numFmtId="164" fontId="0" fillId="5" borderId="6" xfId="0" applyNumberFormat="1" applyFill="1" applyBorder="1" applyAlignment="1" applyProtection="1">
      <alignment horizontal="center" vertical="center"/>
      <protection locked="0"/>
    </xf>
    <xf numFmtId="1" fontId="0" fillId="7" borderId="17" xfId="0" applyNumberFormat="1" applyFill="1" applyBorder="1" applyAlignment="1">
      <alignment horizontal="center" vertical="center" wrapText="1"/>
    </xf>
    <xf numFmtId="0" fontId="0" fillId="6" borderId="6" xfId="0" applyFill="1" applyBorder="1" applyAlignment="1">
      <alignment vertical="center" wrapText="1"/>
    </xf>
    <xf numFmtId="0" fontId="0" fillId="6" borderId="15" xfId="0" applyFill="1" applyBorder="1" applyAlignment="1">
      <alignment vertical="center" wrapText="1"/>
    </xf>
    <xf numFmtId="0" fontId="0" fillId="5" borderId="6" xfId="0" applyFill="1" applyBorder="1" applyAlignment="1" applyProtection="1">
      <alignment vertical="center" wrapText="1"/>
      <protection locked="0"/>
    </xf>
    <xf numFmtId="9" fontId="3" fillId="0" borderId="0" xfId="0" applyNumberFormat="1" applyFont="1" applyAlignment="1">
      <alignment vertical="center"/>
    </xf>
    <xf numFmtId="9" fontId="9" fillId="0" borderId="0" xfId="0" applyNumberFormat="1" applyFont="1" applyAlignment="1">
      <alignment vertical="center"/>
    </xf>
    <xf numFmtId="0" fontId="3" fillId="0" borderId="0" xfId="0" applyFont="1"/>
    <xf numFmtId="0" fontId="0" fillId="4" borderId="26" xfId="0" applyFill="1" applyBorder="1" applyAlignment="1">
      <alignment horizontal="center"/>
    </xf>
    <xf numFmtId="0" fontId="0" fillId="4" borderId="24" xfId="0" applyFill="1" applyBorder="1" applyAlignment="1">
      <alignment horizontal="right" indent="1"/>
    </xf>
    <xf numFmtId="10" fontId="0" fillId="4" borderId="24" xfId="0" applyNumberFormat="1" applyFill="1" applyBorder="1" applyAlignment="1">
      <alignment horizontal="center"/>
    </xf>
    <xf numFmtId="0" fontId="0" fillId="4" borderId="24" xfId="0" applyFill="1" applyBorder="1"/>
    <xf numFmtId="0" fontId="1" fillId="13" borderId="0" xfId="0" applyFont="1" applyFill="1" applyAlignment="1">
      <alignment horizontal="center"/>
    </xf>
    <xf numFmtId="0" fontId="1" fillId="9" borderId="0" xfId="0" applyFont="1" applyFill="1" applyAlignment="1">
      <alignment horizontal="center"/>
    </xf>
    <xf numFmtId="0" fontId="1" fillId="10" borderId="0" xfId="0" applyFont="1" applyFill="1" applyAlignment="1">
      <alignment horizontal="center"/>
    </xf>
    <xf numFmtId="0" fontId="1" fillId="11" borderId="0" xfId="0" applyFont="1" applyFill="1" applyAlignment="1">
      <alignment horizontal="center"/>
    </xf>
    <xf numFmtId="0" fontId="1" fillId="12" borderId="0" xfId="0" applyFont="1" applyFill="1" applyAlignment="1">
      <alignment horizontal="center"/>
    </xf>
    <xf numFmtId="0" fontId="0" fillId="4" borderId="24" xfId="0" applyFill="1" applyBorder="1" applyAlignment="1">
      <alignment horizontal="center"/>
    </xf>
    <xf numFmtId="10" fontId="0" fillId="5" borderId="25" xfId="0" applyNumberFormat="1" applyFill="1" applyBorder="1" applyAlignment="1" applyProtection="1">
      <alignment horizontal="center"/>
      <protection locked="0"/>
    </xf>
    <xf numFmtId="0" fontId="3" fillId="4" borderId="24" xfId="0" applyFont="1" applyFill="1" applyBorder="1" applyAlignment="1">
      <alignment horizontal="center"/>
    </xf>
    <xf numFmtId="9" fontId="0" fillId="4" borderId="24" xfId="0" applyNumberFormat="1" applyFill="1" applyBorder="1" applyAlignment="1">
      <alignment horizontal="center"/>
    </xf>
    <xf numFmtId="0" fontId="3" fillId="0" borderId="0" xfId="0" applyFont="1" applyAlignment="1">
      <alignment horizontal="center"/>
    </xf>
    <xf numFmtId="0" fontId="0" fillId="0" borderId="24" xfId="0" applyBorder="1"/>
    <xf numFmtId="0" fontId="0" fillId="0" borderId="24" xfId="0" applyBorder="1" applyAlignment="1">
      <alignment horizontal="center"/>
    </xf>
    <xf numFmtId="0" fontId="10" fillId="0" borderId="0" xfId="0" applyFont="1" applyAlignment="1">
      <alignment vertical="top"/>
    </xf>
    <xf numFmtId="0" fontId="1" fillId="8" borderId="0" xfId="0" applyFont="1" applyFill="1" applyAlignment="1">
      <alignment horizontal="center"/>
    </xf>
    <xf numFmtId="0" fontId="1" fillId="3" borderId="0" xfId="0" applyFont="1" applyFill="1" applyAlignment="1" applyProtection="1">
      <alignment horizontal="center" vertical="center"/>
      <protection locked="0"/>
    </xf>
    <xf numFmtId="1" fontId="0" fillId="4" borderId="25" xfId="0" applyNumberFormat="1" applyFill="1" applyBorder="1" applyAlignment="1">
      <alignment horizontal="center"/>
    </xf>
    <xf numFmtId="0" fontId="1" fillId="13" borderId="0" xfId="0" applyFont="1" applyFill="1"/>
    <xf numFmtId="1" fontId="0" fillId="4" borderId="24" xfId="0" applyNumberFormat="1" applyFill="1" applyBorder="1" applyAlignment="1">
      <alignment horizontal="center"/>
    </xf>
    <xf numFmtId="0" fontId="0" fillId="2" borderId="0" xfId="0" applyFill="1" applyAlignment="1">
      <alignment horizontal="center" vertical="center" wrapText="1"/>
    </xf>
    <xf numFmtId="0" fontId="0" fillId="14" borderId="6" xfId="0" applyFill="1" applyBorder="1" applyAlignment="1">
      <alignment horizontal="left" vertical="center" wrapText="1"/>
    </xf>
    <xf numFmtId="0" fontId="3" fillId="6" borderId="19" xfId="0" applyFont="1" applyFill="1" applyBorder="1" applyAlignment="1">
      <alignment horizontal="left" vertical="center" wrapText="1"/>
    </xf>
    <xf numFmtId="0" fontId="0" fillId="5" borderId="27" xfId="0" applyFill="1" applyBorder="1" applyAlignment="1" applyProtection="1">
      <alignment horizontal="center" vertical="center" wrapText="1"/>
      <protection locked="0"/>
    </xf>
    <xf numFmtId="0" fontId="11" fillId="2" borderId="0" xfId="0" applyFont="1" applyFill="1" applyAlignment="1">
      <alignment horizontal="center" vertical="center"/>
    </xf>
    <xf numFmtId="0" fontId="0" fillId="0" borderId="7" xfId="0" applyBorder="1" applyAlignment="1">
      <alignment horizontal="left" vertical="center" wrapText="1"/>
    </xf>
    <xf numFmtId="0" fontId="0" fillId="0" borderId="9" xfId="0" applyBorder="1" applyAlignment="1">
      <alignment horizontal="left" vertical="center" wrapText="1"/>
    </xf>
    <xf numFmtId="10" fontId="0" fillId="7" borderId="17" xfId="0" applyNumberFormat="1" applyFill="1" applyBorder="1" applyAlignment="1">
      <alignment horizontal="center" vertical="center"/>
    </xf>
    <xf numFmtId="0" fontId="0" fillId="2" borderId="0" xfId="0" applyFill="1" applyAlignment="1">
      <alignment vertical="center"/>
    </xf>
    <xf numFmtId="0" fontId="0" fillId="3" borderId="0" xfId="0" applyFill="1" applyAlignment="1">
      <alignment vertical="center"/>
    </xf>
    <xf numFmtId="0" fontId="0" fillId="3" borderId="0" xfId="0" applyFill="1" applyAlignment="1">
      <alignment horizontal="center" vertical="center"/>
    </xf>
    <xf numFmtId="0" fontId="0" fillId="4" borderId="6" xfId="0" applyFill="1" applyBorder="1" applyAlignment="1">
      <alignment vertical="center"/>
    </xf>
    <xf numFmtId="0" fontId="0" fillId="4" borderId="15" xfId="0" applyFill="1" applyBorder="1" applyAlignment="1">
      <alignment vertical="center"/>
    </xf>
    <xf numFmtId="0" fontId="0" fillId="7" borderId="16" xfId="0" applyFill="1" applyBorder="1" applyAlignment="1">
      <alignment vertical="center"/>
    </xf>
    <xf numFmtId="0" fontId="3" fillId="7" borderId="16" xfId="0" applyFont="1" applyFill="1" applyBorder="1" applyAlignment="1">
      <alignment vertical="center"/>
    </xf>
    <xf numFmtId="0" fontId="0" fillId="5" borderId="15" xfId="0" applyFill="1" applyBorder="1" applyAlignment="1" applyProtection="1">
      <alignment horizontal="center" vertical="center"/>
      <protection locked="0"/>
    </xf>
    <xf numFmtId="0" fontId="0" fillId="7" borderId="18" xfId="0" applyFill="1" applyBorder="1" applyAlignment="1">
      <alignment vertical="center"/>
    </xf>
    <xf numFmtId="0" fontId="3" fillId="7" borderId="18" xfId="0" applyFont="1" applyFill="1" applyBorder="1" applyAlignment="1">
      <alignment vertical="center"/>
    </xf>
    <xf numFmtId="0" fontId="0" fillId="7" borderId="18" xfId="0" applyFill="1" applyBorder="1" applyAlignment="1">
      <alignment vertical="center" wrapText="1"/>
    </xf>
    <xf numFmtId="0" fontId="0" fillId="5" borderId="5" xfId="0" applyFill="1" applyBorder="1" applyAlignment="1" applyProtection="1">
      <alignment horizontal="center" vertical="center" wrapText="1"/>
      <protection locked="0"/>
    </xf>
    <xf numFmtId="0" fontId="0" fillId="4" borderId="6" xfId="0" applyFill="1" applyBorder="1" applyAlignment="1">
      <alignment horizontal="center" vertical="center" wrapText="1"/>
    </xf>
    <xf numFmtId="0" fontId="0" fillId="4" borderId="6" xfId="0" applyFill="1" applyBorder="1" applyAlignment="1" applyProtection="1">
      <alignment horizontal="left" vertical="center" wrapText="1"/>
      <protection locked="0"/>
    </xf>
    <xf numFmtId="0" fontId="0" fillId="0" borderId="6" xfId="0" applyBorder="1" applyAlignment="1">
      <alignment horizontal="left" vertical="center" wrapText="1" indent="1"/>
    </xf>
    <xf numFmtId="0" fontId="6" fillId="8" borderId="0" xfId="0" applyFont="1" applyFill="1" applyAlignment="1">
      <alignment horizontal="center"/>
    </xf>
    <xf numFmtId="0" fontId="12" fillId="0" borderId="0" xfId="0" applyFont="1"/>
    <xf numFmtId="167" fontId="0" fillId="0" borderId="24" xfId="0" applyNumberFormat="1" applyBorder="1" applyAlignment="1">
      <alignment horizontal="center"/>
    </xf>
    <xf numFmtId="9" fontId="0" fillId="5" borderId="6" xfId="0" applyNumberFormat="1" applyFill="1" applyBorder="1" applyAlignment="1" applyProtection="1">
      <alignment horizontal="center" vertical="center"/>
      <protection locked="0"/>
    </xf>
    <xf numFmtId="1" fontId="0" fillId="5" borderId="6" xfId="0" applyNumberFormat="1" applyFill="1" applyBorder="1" applyAlignment="1" applyProtection="1">
      <alignment horizontal="center" vertical="center"/>
      <protection locked="0"/>
    </xf>
    <xf numFmtId="0" fontId="0" fillId="6" borderId="6" xfId="0" applyFill="1" applyBorder="1" applyAlignment="1" applyProtection="1">
      <alignment horizontal="left" vertical="center" wrapText="1"/>
      <protection locked="0"/>
    </xf>
    <xf numFmtId="0" fontId="0" fillId="8" borderId="0" xfId="0" applyFill="1" applyAlignment="1">
      <alignment vertical="top"/>
    </xf>
    <xf numFmtId="2" fontId="0" fillId="4" borderId="28" xfId="0" applyNumberFormat="1" applyFill="1" applyBorder="1" applyAlignment="1">
      <alignment horizontal="right" vertical="top" indent="1"/>
    </xf>
    <xf numFmtId="14" fontId="0" fillId="5" borderId="6" xfId="0" applyNumberFormat="1" applyFill="1" applyBorder="1" applyAlignment="1" applyProtection="1">
      <alignment horizontal="center" vertical="center" wrapText="1"/>
      <protection locked="0"/>
    </xf>
    <xf numFmtId="0" fontId="0" fillId="16" borderId="6" xfId="0" applyFill="1" applyBorder="1" applyAlignment="1" applyProtection="1">
      <alignment horizontal="center" vertical="center" wrapText="1"/>
      <protection locked="0"/>
    </xf>
    <xf numFmtId="0" fontId="0" fillId="16" borderId="6" xfId="0" applyFill="1" applyBorder="1" applyAlignment="1" applyProtection="1">
      <alignment horizontal="left" vertical="center" wrapText="1"/>
      <protection locked="0"/>
    </xf>
    <xf numFmtId="0" fontId="0" fillId="8" borderId="0" xfId="0" applyFill="1" applyAlignment="1">
      <alignment vertical="top" wrapText="1"/>
    </xf>
    <xf numFmtId="0" fontId="0" fillId="4" borderId="28" xfId="0" applyFill="1" applyBorder="1" applyAlignment="1">
      <alignment vertical="top" wrapText="1"/>
    </xf>
    <xf numFmtId="0" fontId="14" fillId="0" borderId="0" xfId="0" applyFont="1" applyAlignment="1">
      <alignment vertical="top"/>
    </xf>
    <xf numFmtId="0" fontId="0" fillId="6" borderId="6" xfId="0" applyFill="1" applyBorder="1" applyAlignment="1" applyProtection="1">
      <alignment vertical="center" wrapText="1"/>
      <protection locked="0"/>
    </xf>
    <xf numFmtId="0" fontId="0" fillId="0" borderId="6" xfId="0" applyBorder="1" applyAlignment="1" applyProtection="1">
      <alignment horizontal="center" vertical="center" wrapText="1"/>
      <protection locked="0"/>
    </xf>
    <xf numFmtId="0" fontId="0" fillId="5" borderId="6" xfId="0" applyFill="1" applyBorder="1" applyAlignment="1">
      <alignment vertical="center" wrapText="1"/>
    </xf>
    <xf numFmtId="0" fontId="15" fillId="0" borderId="6" xfId="0" applyFont="1" applyBorder="1" applyAlignment="1">
      <alignment vertical="center" wrapText="1"/>
    </xf>
    <xf numFmtId="0" fontId="15" fillId="17" borderId="5" xfId="0" applyFont="1" applyFill="1" applyBorder="1" applyAlignment="1">
      <alignment vertical="center" wrapText="1"/>
    </xf>
    <xf numFmtId="0" fontId="0" fillId="3" borderId="0" xfId="0" applyFill="1" applyAlignment="1">
      <alignment horizontal="left" vertical="center" wrapText="1"/>
    </xf>
    <xf numFmtId="0" fontId="3" fillId="2" borderId="0" xfId="0" applyFont="1" applyFill="1" applyAlignment="1">
      <alignment horizontal="right" vertical="center" indent="1"/>
    </xf>
    <xf numFmtId="0" fontId="0" fillId="3" borderId="6" xfId="0" applyFill="1" applyBorder="1" applyAlignment="1">
      <alignment horizontal="right" vertical="center"/>
    </xf>
    <xf numFmtId="0" fontId="0" fillId="15" borderId="5" xfId="0" applyFill="1" applyBorder="1" applyAlignment="1">
      <alignment vertical="center" wrapText="1"/>
    </xf>
    <xf numFmtId="0" fontId="0" fillId="2" borderId="0" xfId="0" applyFill="1" applyAlignment="1">
      <alignment vertical="center" wrapText="1"/>
    </xf>
    <xf numFmtId="0" fontId="0" fillId="2" borderId="0" xfId="0" applyFill="1" applyAlignment="1">
      <alignment horizontal="right" vertical="center"/>
    </xf>
    <xf numFmtId="0" fontId="3" fillId="5" borderId="6" xfId="0" applyFont="1" applyFill="1" applyBorder="1" applyAlignment="1" applyProtection="1">
      <alignment horizontal="center" vertical="center" wrapText="1"/>
      <protection locked="0"/>
    </xf>
    <xf numFmtId="0" fontId="1" fillId="13" borderId="0" xfId="0" applyFont="1" applyFill="1" applyAlignment="1">
      <alignment horizontal="center" wrapText="1"/>
    </xf>
    <xf numFmtId="165" fontId="0" fillId="0" borderId="24" xfId="0" applyNumberFormat="1" applyBorder="1" applyAlignment="1">
      <alignment horizontal="center"/>
    </xf>
    <xf numFmtId="0" fontId="3" fillId="0" borderId="24" xfId="0" applyFont="1" applyBorder="1"/>
    <xf numFmtId="0" fontId="7" fillId="4" borderId="0" xfId="0" applyFont="1" applyFill="1" applyAlignment="1">
      <alignment vertical="top"/>
    </xf>
    <xf numFmtId="0" fontId="0" fillId="4" borderId="0" xfId="0" applyFill="1" applyAlignment="1">
      <alignment vertical="top" wrapText="1"/>
    </xf>
    <xf numFmtId="0" fontId="0" fillId="5" borderId="6" xfId="0" applyFill="1" applyBorder="1" applyAlignment="1" applyProtection="1">
      <alignment wrapText="1"/>
      <protection locked="0"/>
    </xf>
    <xf numFmtId="0" fontId="0" fillId="15" borderId="0" xfId="0" applyFill="1" applyAlignment="1" applyProtection="1">
      <alignment vertical="center" wrapText="1"/>
      <protection locked="0"/>
    </xf>
    <xf numFmtId="0" fontId="0" fillId="6" borderId="5" xfId="0" applyFill="1" applyBorder="1" applyAlignment="1">
      <alignment vertical="center" wrapText="1"/>
    </xf>
    <xf numFmtId="0" fontId="0" fillId="5" borderId="15" xfId="0" applyFill="1" applyBorder="1" applyAlignment="1" applyProtection="1">
      <alignment vertical="center" wrapText="1"/>
      <protection locked="0"/>
    </xf>
    <xf numFmtId="0" fontId="12" fillId="5" borderId="0" xfId="0" applyFont="1" applyFill="1" applyAlignment="1" applyProtection="1">
      <alignment wrapText="1"/>
      <protection locked="0"/>
    </xf>
    <xf numFmtId="0" fontId="3" fillId="0" borderId="0" xfId="0" applyFont="1" applyAlignment="1">
      <alignment horizontal="center" vertical="top" wrapText="1"/>
    </xf>
    <xf numFmtId="0" fontId="3" fillId="0" borderId="31" xfId="0" applyFont="1" applyBorder="1" applyAlignment="1">
      <alignment horizontal="left" vertical="top" wrapText="1"/>
    </xf>
    <xf numFmtId="165" fontId="3" fillId="0" borderId="31" xfId="0" applyNumberFormat="1" applyFont="1" applyBorder="1" applyAlignment="1">
      <alignment horizontal="left" vertical="top" wrapText="1"/>
    </xf>
    <xf numFmtId="164" fontId="3" fillId="0" borderId="31" xfId="0" applyNumberFormat="1" applyFont="1" applyBorder="1" applyAlignment="1">
      <alignment horizontal="left" vertical="top" wrapText="1"/>
    </xf>
    <xf numFmtId="0" fontId="3" fillId="0" borderId="0" xfId="0" applyFont="1" applyAlignment="1">
      <alignment horizontal="left" vertical="top" wrapText="1"/>
    </xf>
    <xf numFmtId="0" fontId="0" fillId="0" borderId="0" xfId="0" applyAlignment="1">
      <alignment horizontal="center" vertical="top" wrapText="1"/>
    </xf>
    <xf numFmtId="0" fontId="11" fillId="0" borderId="32" xfId="0" applyFont="1" applyBorder="1" applyAlignment="1">
      <alignment horizontal="left" vertical="top" wrapText="1"/>
    </xf>
    <xf numFmtId="165" fontId="11" fillId="0" borderId="32" xfId="0" applyNumberFormat="1" applyFont="1" applyBorder="1" applyAlignment="1">
      <alignment horizontal="left" vertical="top" wrapText="1"/>
    </xf>
    <xf numFmtId="164" fontId="11" fillId="0" borderId="32" xfId="0" applyNumberFormat="1" applyFont="1" applyBorder="1" applyAlignment="1">
      <alignment horizontal="left" vertical="top" wrapText="1"/>
    </xf>
    <xf numFmtId="0" fontId="0" fillId="0" borderId="0" xfId="0" applyAlignment="1">
      <alignment horizontal="left" vertical="top" wrapText="1"/>
    </xf>
    <xf numFmtId="0" fontId="0" fillId="16" borderId="0" xfId="0" applyFill="1" applyAlignment="1">
      <alignment horizontal="left" vertical="top" wrapText="1"/>
    </xf>
    <xf numFmtId="168" fontId="0" fillId="16" borderId="0" xfId="0" applyNumberFormat="1" applyFill="1" applyAlignment="1">
      <alignment horizontal="left" vertical="top" wrapText="1"/>
    </xf>
    <xf numFmtId="165" fontId="0" fillId="16" borderId="0" xfId="0" applyNumberFormat="1" applyFill="1" applyAlignment="1">
      <alignment horizontal="left" vertical="top" wrapText="1"/>
    </xf>
    <xf numFmtId="164" fontId="0" fillId="16" borderId="0" xfId="0" applyNumberFormat="1" applyFill="1" applyAlignment="1">
      <alignment horizontal="left" vertical="top" wrapText="1"/>
    </xf>
    <xf numFmtId="0" fontId="0" fillId="0" borderId="0" xfId="0" applyAlignment="1" applyProtection="1">
      <alignment horizontal="left" vertical="top"/>
      <protection locked="0"/>
    </xf>
    <xf numFmtId="168" fontId="0" fillId="0" borderId="0" xfId="0" applyNumberFormat="1" applyAlignment="1">
      <alignment horizontal="left" vertical="top"/>
    </xf>
    <xf numFmtId="0" fontId="0" fillId="0" borderId="0" xfId="0" applyAlignment="1">
      <alignment horizontal="left" vertical="top"/>
    </xf>
    <xf numFmtId="10" fontId="0" fillId="0" borderId="0" xfId="0" applyNumberFormat="1" applyAlignment="1">
      <alignment horizontal="left" vertical="top"/>
    </xf>
    <xf numFmtId="165" fontId="0" fillId="0" borderId="0" xfId="0" applyNumberFormat="1" applyAlignment="1">
      <alignment horizontal="left" vertical="top"/>
    </xf>
    <xf numFmtId="164" fontId="0" fillId="0" borderId="0" xfId="0" applyNumberFormat="1" applyAlignment="1">
      <alignment horizontal="left" vertical="top"/>
    </xf>
    <xf numFmtId="0" fontId="0" fillId="0" borderId="0" xfId="0" quotePrefix="1" applyAlignment="1" applyProtection="1">
      <alignment horizontal="left" vertical="top"/>
      <protection locked="0"/>
    </xf>
    <xf numFmtId="0" fontId="3" fillId="0" borderId="0" xfId="0" applyFont="1" applyAlignment="1">
      <alignment horizontal="center" vertical="center" wrapText="1"/>
    </xf>
    <xf numFmtId="2" fontId="3" fillId="0" borderId="30" xfId="0" applyNumberFormat="1" applyFont="1" applyBorder="1" applyAlignment="1">
      <alignment horizontal="center" vertical="center" wrapText="1"/>
    </xf>
    <xf numFmtId="0" fontId="3" fillId="0" borderId="30" xfId="0" applyFont="1" applyBorder="1" applyAlignment="1">
      <alignment vertical="center" wrapText="1"/>
    </xf>
    <xf numFmtId="0" fontId="3" fillId="0" borderId="30" xfId="0" applyFont="1" applyBorder="1" applyAlignment="1">
      <alignment horizontal="left" vertical="center" wrapText="1"/>
    </xf>
    <xf numFmtId="0" fontId="3" fillId="0" borderId="30"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2" fontId="0" fillId="0" borderId="29" xfId="0" applyNumberFormat="1" applyBorder="1" applyAlignment="1">
      <alignment horizontal="center" vertical="center" wrapText="1"/>
    </xf>
    <xf numFmtId="0" fontId="0" fillId="0" borderId="29" xfId="0" applyBorder="1" applyAlignment="1">
      <alignment vertical="center" wrapText="1"/>
    </xf>
    <xf numFmtId="0" fontId="0" fillId="0" borderId="29" xfId="0" applyBorder="1" applyAlignment="1">
      <alignment horizontal="left" vertical="center" wrapText="1"/>
    </xf>
    <xf numFmtId="10" fontId="0" fillId="0" borderId="29" xfId="0" applyNumberFormat="1" applyBorder="1" applyAlignment="1">
      <alignment horizontal="center" vertical="center" wrapText="1"/>
    </xf>
    <xf numFmtId="2" fontId="0" fillId="0" borderId="28" xfId="0" applyNumberFormat="1" applyBorder="1" applyAlignment="1">
      <alignment horizontal="center" vertical="center" wrapText="1"/>
    </xf>
    <xf numFmtId="0" fontId="0" fillId="0" borderId="28" xfId="0" applyBorder="1" applyAlignment="1">
      <alignment vertical="center" wrapText="1"/>
    </xf>
    <xf numFmtId="0" fontId="0" fillId="0" borderId="28" xfId="0" applyBorder="1" applyAlignment="1">
      <alignment horizontal="left" vertical="center" wrapText="1"/>
    </xf>
    <xf numFmtId="10" fontId="0" fillId="0" borderId="28" xfId="0" applyNumberFormat="1" applyBorder="1" applyAlignment="1">
      <alignment horizontal="center" vertical="center" wrapText="1"/>
    </xf>
    <xf numFmtId="2" fontId="0" fillId="0" borderId="0" xfId="0" applyNumberFormat="1" applyAlignment="1">
      <alignment horizontal="center" vertical="center" wrapText="1"/>
    </xf>
    <xf numFmtId="0" fontId="0" fillId="0" borderId="0" xfId="0" applyAlignment="1">
      <alignment horizontal="left" vertical="center" wrapText="1"/>
    </xf>
    <xf numFmtId="0" fontId="0" fillId="0" borderId="29" xfId="0" applyBorder="1" applyAlignment="1">
      <alignment horizontal="center" vertical="center" wrapText="1"/>
    </xf>
    <xf numFmtId="0" fontId="0" fillId="0" borderId="29" xfId="0" applyBorder="1" applyAlignment="1" applyProtection="1">
      <alignment horizontal="center" vertical="center"/>
      <protection locked="0"/>
    </xf>
    <xf numFmtId="0" fontId="0" fillId="0" borderId="28" xfId="0" applyBorder="1" applyAlignment="1">
      <alignment horizontal="center" vertical="center" wrapText="1"/>
    </xf>
    <xf numFmtId="0" fontId="0" fillId="0" borderId="28" xfId="0" applyBorder="1" applyAlignment="1" applyProtection="1">
      <alignment horizontal="center" vertical="center"/>
      <protection locked="0"/>
    </xf>
    <xf numFmtId="0" fontId="5" fillId="4" borderId="3" xfId="1" applyFill="1" applyBorder="1" applyAlignment="1">
      <alignment horizontal="left" vertical="top"/>
    </xf>
    <xf numFmtId="0" fontId="5" fillId="4" borderId="6" xfId="1" applyFill="1" applyBorder="1" applyAlignment="1">
      <alignment horizontal="left" vertical="top"/>
    </xf>
    <xf numFmtId="0" fontId="5" fillId="4" borderId="15" xfId="1" applyFill="1" applyBorder="1" applyAlignment="1">
      <alignment horizontal="left" vertical="top"/>
    </xf>
    <xf numFmtId="0" fontId="5" fillId="3" borderId="0" xfId="1" applyFill="1" applyAlignment="1">
      <alignment vertical="center" wrapText="1"/>
    </xf>
    <xf numFmtId="0" fontId="0" fillId="4" borderId="0" xfId="0" applyFill="1" applyAlignment="1">
      <alignment horizontal="left" vertical="top"/>
    </xf>
    <xf numFmtId="0" fontId="0" fillId="0" borderId="0" xfId="0" applyAlignment="1">
      <alignment horizontal="center"/>
    </xf>
    <xf numFmtId="0" fontId="2" fillId="4" borderId="0" xfId="0" applyFont="1" applyFill="1" applyAlignment="1">
      <alignment horizontal="center" vertical="top"/>
    </xf>
    <xf numFmtId="0" fontId="1" fillId="13" borderId="1" xfId="0" applyFont="1" applyFill="1" applyBorder="1" applyAlignment="1">
      <alignment horizontal="left"/>
    </xf>
    <xf numFmtId="0" fontId="0" fillId="3" borderId="0" xfId="0" applyFill="1" applyAlignment="1">
      <alignment horizontal="left" vertical="center"/>
    </xf>
    <xf numFmtId="0" fontId="1" fillId="3" borderId="0" xfId="0" applyFont="1" applyFill="1" applyAlignment="1">
      <alignment horizontal="left" vertical="center"/>
    </xf>
    <xf numFmtId="0" fontId="0" fillId="3" borderId="0" xfId="0" applyFill="1" applyAlignment="1">
      <alignment horizontal="left" vertical="center" wrapText="1"/>
    </xf>
    <xf numFmtId="0" fontId="1" fillId="3" borderId="0" xfId="0" applyFont="1" applyFill="1" applyAlignment="1">
      <alignment horizontal="left" vertical="center" wrapText="1"/>
    </xf>
    <xf numFmtId="0" fontId="0" fillId="3" borderId="23" xfId="0" applyFill="1" applyBorder="1" applyAlignment="1">
      <alignment horizontal="left" vertical="center" wrapText="1"/>
    </xf>
  </cellXfs>
  <cellStyles count="2">
    <cellStyle name="Hyperlink" xfId="1" builtinId="8"/>
    <cellStyle name="Normal" xfId="0" builtinId="0"/>
  </cellStyles>
  <dxfs count="59">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
      <font>
        <color rgb="FF9C0006"/>
      </font>
      <fill>
        <patternFill>
          <bgColor rgb="FFFFC7CE"/>
        </patternFill>
      </fill>
    </dxf>
    <dxf>
      <font>
        <color rgb="FF006100"/>
      </font>
      <fill>
        <patternFill>
          <bgColor rgb="FFC6EFCE"/>
        </patternFill>
      </fill>
    </dxf>
    <dxf>
      <font>
        <color theme="0" tint="-0.24994659260841701"/>
      </font>
      <fill>
        <patternFill>
          <bgColor theme="0" tint="-0.499984740745262"/>
        </patternFill>
      </fill>
    </dxf>
  </dxfs>
  <tableStyles count="0" defaultTableStyle="TableStyleMedium2" defaultPivotStyle="PivotStyleLight16"/>
  <colors>
    <mruColors>
      <color rgb="FFFFC8C8"/>
      <color rgb="FF92D050"/>
      <color rgb="FFFF6400"/>
      <color rgb="FFFF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tx1"/>
                </a:solidFill>
              </a:rPr>
              <a:t>Overall CIS Control Assessment Specification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0"/>
          <c:tx>
            <c:strRef>
              <c:f>ScoringTables!$O$25</c:f>
              <c:strCache>
                <c:ptCount val="1"/>
                <c:pt idx="0">
                  <c:v>Scale</c:v>
                </c:pt>
              </c:strCache>
            </c:strRef>
          </c:tx>
          <c:spPr>
            <a:gradFill flip="none" rotWithShape="1">
              <a:gsLst>
                <a:gs pos="0">
                  <a:srgbClr val="FF0000"/>
                </a:gs>
                <a:gs pos="26000">
                  <a:srgbClr val="FF6400"/>
                </a:gs>
                <a:gs pos="51000">
                  <a:srgbClr val="FFFF00"/>
                </a:gs>
                <a:gs pos="100000">
                  <a:srgbClr val="00B050"/>
                </a:gs>
              </a:gsLst>
              <a:lin ang="0" scaled="1"/>
              <a:tileRect/>
            </a:gradFill>
            <a:ln>
              <a:noFill/>
            </a:ln>
            <a:effectLst/>
          </c:spPr>
          <c:invertIfNegative val="0"/>
          <c:dPt>
            <c:idx val="0"/>
            <c:invertIfNegative val="0"/>
            <c:bubble3D val="0"/>
            <c:spPr>
              <a:gradFill flip="none" rotWithShape="1">
                <a:gsLst>
                  <a:gs pos="0">
                    <a:srgbClr val="FF0000"/>
                  </a:gs>
                  <a:gs pos="31000">
                    <a:srgbClr val="FF6400"/>
                  </a:gs>
                  <a:gs pos="56000">
                    <a:srgbClr val="FFFF00"/>
                  </a:gs>
                  <a:gs pos="100000">
                    <a:srgbClr val="00B050"/>
                  </a:gs>
                </a:gsLst>
                <a:lin ang="0" scaled="1"/>
                <a:tileRect/>
              </a:gradFill>
              <a:ln>
                <a:noFill/>
              </a:ln>
              <a:effectLst/>
            </c:spPr>
            <c:extLst>
              <c:ext xmlns:c16="http://schemas.microsoft.com/office/drawing/2014/chart" uri="{C3380CC4-5D6E-409C-BE32-E72D297353CC}">
                <c16:uniqueId val="{00000005-0D2E-4020-882F-EF7D799A1C7F}"/>
              </c:ext>
            </c:extLst>
          </c:dPt>
          <c:cat>
            <c:strRef>
              <c:f>ScoringTables!$M$26</c:f>
              <c:strCache>
                <c:ptCount val="1"/>
                <c:pt idx="0">
                  <c:v>CIS CAS Overall Average Score</c:v>
                </c:pt>
              </c:strCache>
            </c:strRef>
          </c:cat>
          <c:val>
            <c:numRef>
              <c:f>ScoringTables!$O$26</c:f>
              <c:numCache>
                <c:formatCode>General</c:formatCode>
                <c:ptCount val="1"/>
                <c:pt idx="0">
                  <c:v>1</c:v>
                </c:pt>
              </c:numCache>
            </c:numRef>
          </c:val>
          <c:extLst>
            <c:ext xmlns:c16="http://schemas.microsoft.com/office/drawing/2014/chart" uri="{C3380CC4-5D6E-409C-BE32-E72D297353CC}">
              <c16:uniqueId val="{00000001-0D2E-4020-882F-EF7D799A1C7F}"/>
            </c:ext>
          </c:extLst>
        </c:ser>
        <c:dLbls>
          <c:showLegendKey val="0"/>
          <c:showVal val="0"/>
          <c:showCatName val="0"/>
          <c:showSerName val="0"/>
          <c:showPercent val="0"/>
          <c:showBubbleSize val="0"/>
        </c:dLbls>
        <c:gapWidth val="100"/>
        <c:overlap val="100"/>
        <c:axId val="471775360"/>
        <c:axId val="471775840"/>
      </c:barChart>
      <c:barChart>
        <c:barDir val="bar"/>
        <c:grouping val="stacked"/>
        <c:varyColors val="0"/>
        <c:ser>
          <c:idx val="2"/>
          <c:order val="1"/>
          <c:tx>
            <c:strRef>
              <c:f>ScoringTables!$P$25</c:f>
              <c:strCache>
                <c:ptCount val="1"/>
                <c:pt idx="0">
                  <c:v>Fill</c:v>
                </c:pt>
              </c:strCache>
            </c:strRef>
          </c:tx>
          <c:spPr>
            <a:solidFill>
              <a:schemeClr val="accent3"/>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4-0D2E-4020-882F-EF7D799A1C7F}"/>
              </c:ext>
            </c:extLst>
          </c:dPt>
          <c:cat>
            <c:strRef>
              <c:f>ScoringTables!$M$26</c:f>
              <c:strCache>
                <c:ptCount val="1"/>
                <c:pt idx="0">
                  <c:v>CIS CAS Overall Average Score</c:v>
                </c:pt>
              </c:strCache>
            </c:strRef>
          </c:cat>
          <c:val>
            <c:numRef>
              <c:f>ScoringTables!$P$26</c:f>
              <c:numCache>
                <c:formatCode>0.000</c:formatCode>
                <c:ptCount val="1"/>
                <c:pt idx="0">
                  <c:v>-0.01</c:v>
                </c:pt>
              </c:numCache>
            </c:numRef>
          </c:val>
          <c:extLst>
            <c:ext xmlns:c16="http://schemas.microsoft.com/office/drawing/2014/chart" uri="{C3380CC4-5D6E-409C-BE32-E72D297353CC}">
              <c16:uniqueId val="{00000002-0D2E-4020-882F-EF7D799A1C7F}"/>
            </c:ext>
          </c:extLst>
        </c:ser>
        <c:ser>
          <c:idx val="3"/>
          <c:order val="2"/>
          <c:tx>
            <c:strRef>
              <c:f>ScoringTables!$Q$25</c:f>
              <c:strCache>
                <c:ptCount val="1"/>
                <c:pt idx="0">
                  <c:v>Size</c:v>
                </c:pt>
              </c:strCache>
            </c:strRef>
          </c:tx>
          <c:spPr>
            <a:solidFill>
              <a:schemeClr val="tx1">
                <a:lumMod val="50000"/>
                <a:lumOff val="50000"/>
              </a:schemeClr>
            </a:solidFill>
            <a:ln>
              <a:solidFill>
                <a:schemeClr val="tx1"/>
              </a:solidFill>
            </a:ln>
            <a:effectLst/>
          </c:spPr>
          <c:invertIfNegative val="0"/>
          <c:cat>
            <c:strRef>
              <c:f>ScoringTables!$M$26</c:f>
              <c:strCache>
                <c:ptCount val="1"/>
                <c:pt idx="0">
                  <c:v>CIS CAS Overall Average Score</c:v>
                </c:pt>
              </c:strCache>
            </c:strRef>
          </c:cat>
          <c:val>
            <c:numRef>
              <c:f>ScoringTables!$Q$26</c:f>
              <c:numCache>
                <c:formatCode>General</c:formatCode>
                <c:ptCount val="1"/>
                <c:pt idx="0">
                  <c:v>0.02</c:v>
                </c:pt>
              </c:numCache>
            </c:numRef>
          </c:val>
          <c:extLst>
            <c:ext xmlns:c16="http://schemas.microsoft.com/office/drawing/2014/chart" uri="{C3380CC4-5D6E-409C-BE32-E72D297353CC}">
              <c16:uniqueId val="{00000003-0D2E-4020-882F-EF7D799A1C7F}"/>
            </c:ext>
          </c:extLst>
        </c:ser>
        <c:dLbls>
          <c:showLegendKey val="0"/>
          <c:showVal val="0"/>
          <c:showCatName val="0"/>
          <c:showSerName val="0"/>
          <c:showPercent val="0"/>
          <c:showBubbleSize val="0"/>
        </c:dLbls>
        <c:gapWidth val="50"/>
        <c:overlap val="100"/>
        <c:axId val="471770080"/>
        <c:axId val="471782080"/>
      </c:barChart>
      <c:catAx>
        <c:axId val="471775360"/>
        <c:scaling>
          <c:orientation val="minMax"/>
        </c:scaling>
        <c:delete val="1"/>
        <c:axPos val="l"/>
        <c:numFmt formatCode="General" sourceLinked="1"/>
        <c:majorTickMark val="none"/>
        <c:minorTickMark val="none"/>
        <c:tickLblPos val="nextTo"/>
        <c:crossAx val="471775840"/>
        <c:crosses val="autoZero"/>
        <c:auto val="1"/>
        <c:lblAlgn val="ctr"/>
        <c:lblOffset val="100"/>
        <c:noMultiLvlLbl val="0"/>
      </c:catAx>
      <c:valAx>
        <c:axId val="471775840"/>
        <c:scaling>
          <c:orientation val="minMax"/>
          <c:max val="1"/>
          <c:min val="0"/>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75360"/>
        <c:crosses val="autoZero"/>
        <c:crossBetween val="between"/>
      </c:valAx>
      <c:valAx>
        <c:axId val="471782080"/>
        <c:scaling>
          <c:orientation val="minMax"/>
          <c:max val="1"/>
          <c:min val="0"/>
        </c:scaling>
        <c:delete val="1"/>
        <c:axPos val="t"/>
        <c:numFmt formatCode="0.000" sourceLinked="1"/>
        <c:majorTickMark val="out"/>
        <c:minorTickMark val="none"/>
        <c:tickLblPos val="nextTo"/>
        <c:crossAx val="471770080"/>
        <c:crosses val="max"/>
        <c:crossBetween val="between"/>
      </c:valAx>
      <c:catAx>
        <c:axId val="471770080"/>
        <c:scaling>
          <c:orientation val="minMax"/>
        </c:scaling>
        <c:delete val="1"/>
        <c:axPos val="l"/>
        <c:numFmt formatCode="General" sourceLinked="1"/>
        <c:majorTickMark val="out"/>
        <c:minorTickMark val="none"/>
        <c:tickLblPos val="nextTo"/>
        <c:crossAx val="4717820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baseline="0">
                <a:solidFill>
                  <a:sysClr val="windowText" lastClr="000000"/>
                </a:solidFill>
              </a:rPr>
              <a:t>Overall CAS Score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5674477972835711E-2"/>
          <c:y val="0.21345769429231765"/>
          <c:w val="0.92865104405432874"/>
          <c:h val="0.71675967721653477"/>
        </c:manualLayout>
      </c:layout>
      <c:doughnutChart>
        <c:varyColors val="1"/>
        <c:ser>
          <c:idx val="0"/>
          <c:order val="0"/>
          <c:spPr>
            <a:solidFill>
              <a:schemeClr val="bg1">
                <a:lumMod val="75000"/>
              </a:schemeClr>
            </a:solidFill>
          </c:spPr>
          <c:explosion val="1"/>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E387-48B9-93BE-24A960572BCE}"/>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387-48B9-93BE-24A960572BCE}"/>
              </c:ext>
            </c:extLst>
          </c:dPt>
          <c:dPt>
            <c:idx val="2"/>
            <c:bubble3D val="0"/>
            <c:spPr>
              <a:solidFill>
                <a:srgbClr val="FF6400"/>
              </a:solidFill>
              <a:ln w="19050">
                <a:solidFill>
                  <a:schemeClr val="lt1"/>
                </a:solidFill>
              </a:ln>
              <a:effectLst/>
            </c:spPr>
            <c:extLst>
              <c:ext xmlns:c16="http://schemas.microsoft.com/office/drawing/2014/chart" uri="{C3380CC4-5D6E-409C-BE32-E72D297353CC}">
                <c16:uniqueId val="{00000005-E387-48B9-93BE-24A960572BCE}"/>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E387-48B9-93BE-24A960572BCE}"/>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E387-48B9-93BE-24A960572BCE}"/>
              </c:ext>
            </c:extLst>
          </c:dPt>
          <c:val>
            <c:numRef>
              <c:f>ScoringTables!$P$22:$T$22</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A-E387-48B9-93BE-24A960572BC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3C-41B5-B6B7-5736CF4768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3C-41B5-B6B7-5736CF4768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3C-41B5-B6B7-5736CF4768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3C-41B5-B6B7-5736CF4768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3C-41B5-B6B7-5736CF4768D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4F-4151-8F97-7D3C7E3B5F91}"/>
              </c:ext>
            </c:extLst>
          </c:dPt>
          <c:val>
            <c:numRef>
              <c:f>ScoringTables!$P$3:$U$3</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B3C-41B5-B6B7-5736CF4768D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#2</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D9-4123-9A61-D64355B40F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D9-4123-9A61-D64355B40F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D9-4123-9A61-D64355B40F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D9-4123-9A61-D64355B40F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D9-4123-9A61-D64355B40F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C7-4343-ADF7-2A90EA8B1795}"/>
              </c:ext>
            </c:extLst>
          </c:dPt>
          <c:val>
            <c:numRef>
              <c:f>ScoringTables!$P$4:$U$4</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AD9-4123-9A61-D64355B40F7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#3</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6C-446C-8230-0877FCE1DE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6C-446C-8230-0877FCE1DE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6C-446C-8230-0877FCE1DE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66C-446C-8230-0877FCE1DE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66C-446C-8230-0877FCE1DE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74-4943-819F-20AEEF3FE772}"/>
              </c:ext>
            </c:extLst>
          </c:dPt>
          <c:val>
            <c:numRef>
              <c:f>ScoringTables!$P$5:$U$5</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C66C-446C-8230-0877FCE1DE9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#4</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6D-48DC-9AD6-7B84F984EE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6D-48DC-9AD6-7B84F984EE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6D-48DC-9AD6-7B84F984EE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6D-48DC-9AD6-7B84F984EE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06D-48DC-9AD6-7B84F984EE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02-48BF-8342-9EF8E55D8FAD}"/>
              </c:ext>
            </c:extLst>
          </c:dPt>
          <c:val>
            <c:numRef>
              <c:f>ScoringTables!$P$6:$U$6</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406D-48DC-9AD6-7B84F984EE3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#5</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0F-4349-920B-534E6A9F7D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0F-4349-920B-534E6A9F7D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0F-4349-920B-534E6A9F7D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0F-4349-920B-534E6A9F7D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B0F-4349-920B-534E6A9F7D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06A-4D51-AE6C-B989FD026775}"/>
              </c:ext>
            </c:extLst>
          </c:dPt>
          <c:val>
            <c:numRef>
              <c:f>ScoringTables!$P$7:$U$7</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3B0F-4349-920B-534E6A9F7D1C}"/>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#6</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08-4C56-8FB7-304F548216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08-4C56-8FB7-304F548216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08-4C56-8FB7-304F548216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08-4C56-8FB7-304F548216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708-4C56-8FB7-304F548216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7D-4BBF-B245-283007D73EDD}"/>
              </c:ext>
            </c:extLst>
          </c:dPt>
          <c:val>
            <c:numRef>
              <c:f>ScoringTables!$P$8:$U$8</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5708-4C56-8FB7-304F5482162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#7</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71-4334-AB7B-7BCA9213B8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71-4334-AB7B-7BCA9213B8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471-4334-AB7B-7BCA9213B8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471-4334-AB7B-7BCA9213B8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471-4334-AB7B-7BCA9213B81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B66-4D95-A281-5912DE2F6166}"/>
              </c:ext>
            </c:extLst>
          </c:dPt>
          <c:val>
            <c:numRef>
              <c:f>ScoringTables!$P$9:$U$9</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E471-4334-AB7B-7BCA9213B81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#8</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10-4380-9488-1CC26C460A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10-4380-9488-1CC26C460A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10-4380-9488-1CC26C460A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10-4380-9488-1CC26C460A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10-4380-9488-1CC26C460A7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38-44A9-966C-052B63B0840D}"/>
              </c:ext>
            </c:extLst>
          </c:dPt>
          <c:val>
            <c:numRef>
              <c:f>ScoringTables!$P$10:$U$10</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D410-4380-9488-1CC26C460A7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#9</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CA-46A9-8FC2-9EE030C571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CA-46A9-8FC2-9EE030C571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CA-46A9-8FC2-9EE030C571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CA-46A9-8FC2-9EE030C571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CA-46A9-8FC2-9EE030C5716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937-4739-8830-2E9066ACA157}"/>
              </c:ext>
            </c:extLst>
          </c:dPt>
          <c:val>
            <c:numRef>
              <c:f>ScoringTables!$P$11:$U$11</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4FCA-46A9-8FC2-9EE030C5716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#10</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32-4B47-8529-8017BD34F1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32-4B47-8529-8017BD34F1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32-4B47-8529-8017BD34F1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32-4B47-8529-8017BD34F1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32-4B47-8529-8017BD34F1D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9F8-46B3-97F5-DBED0F533F9B}"/>
              </c:ext>
            </c:extLst>
          </c:dPt>
          <c:val>
            <c:numRef>
              <c:f>ScoringTables!$P$12:$U$12</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9532-4B47-8529-8017BD34F1D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#11</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02-4417-A8E2-319911157C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02-4417-A8E2-319911157C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02-4417-A8E2-319911157C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02-4417-A8E2-319911157CA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02-4417-A8E2-319911157CA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F5-44BF-A1E7-AF454BB33F9E}"/>
              </c:ext>
            </c:extLst>
          </c:dPt>
          <c:val>
            <c:numRef>
              <c:f>ScoringTables!$P$13:$U$13</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D02-4417-A8E2-319911157CA1}"/>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#12</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C7-4F33-A68B-0ED2AE464B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C7-4F33-A68B-0ED2AE464B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C7-4F33-A68B-0ED2AE464B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C7-4F33-A68B-0ED2AE464BB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C7-4F33-A68B-0ED2AE464BB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8C9-4704-8B05-EE0EECD69C62}"/>
              </c:ext>
            </c:extLst>
          </c:dPt>
          <c:val>
            <c:numRef>
              <c:f>ScoringTables!$P$14:$U$14</c:f>
              <c:numCache>
                <c:formatCode>0.00%</c:formatCode>
                <c:ptCount val="6"/>
                <c:pt idx="0">
                  <c:v>0</c:v>
                </c:pt>
                <c:pt idx="1">
                  <c:v>0</c:v>
                </c:pt>
                <c:pt idx="2">
                  <c:v>0</c:v>
                </c:pt>
                <c:pt idx="3">
                  <c:v>0</c:v>
                </c:pt>
                <c:pt idx="4">
                  <c:v>0</c:v>
                </c:pt>
                <c:pt idx="5" formatCode="0">
                  <c:v>1</c:v>
                </c:pt>
              </c:numCache>
            </c:numRef>
          </c:val>
          <c:extLst>
            <c:ext xmlns:c16="http://schemas.microsoft.com/office/drawing/2014/chart" uri="{C3380CC4-5D6E-409C-BE32-E72D297353CC}">
              <c16:uniqueId val="{0000000A-C9C7-4F33-A68B-0ED2AE464BB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#13</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4E-4B39-AE9F-4B152032E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4E-4B39-AE9F-4B152032E7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4E-4B39-AE9F-4B152032E7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04E-4B39-AE9F-4B152032E7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04E-4B39-AE9F-4B152032E75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92-4FEC-8D51-CAF1F567FA8E}"/>
              </c:ext>
            </c:extLst>
          </c:dPt>
          <c:val>
            <c:numRef>
              <c:f>ScoringTables!$P$15:$U$15</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04E-4B39-AE9F-4B152032E75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#14</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E5-4FD0-A36B-46C4D15FB9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E5-4FD0-A36B-46C4D15FB9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E5-4FD0-A36B-46C4D15FB9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E5-4FD0-A36B-46C4D15FB9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E5-4FD0-A36B-46C4D15FB9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48-4FDD-9B6E-D5846DA68F06}"/>
              </c:ext>
            </c:extLst>
          </c:dPt>
          <c:val>
            <c:numRef>
              <c:f>ScoringTables!$P$16:$U$16</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42E5-4FD0-A36B-46C4D15FB92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#15</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5E-4B49-BDCF-AD32EF433E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5E-4B49-BDCF-AD32EF433E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5E-4B49-BDCF-AD32EF433E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5E-4B49-BDCF-AD32EF433E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5E-4B49-BDCF-AD32EF433E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9E7-49F3-825A-CF8143CE2887}"/>
              </c:ext>
            </c:extLst>
          </c:dPt>
          <c:val>
            <c:numRef>
              <c:f>ScoringTables!$P$17:$U$17</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EF5E-4B49-BDCF-AD32EF433EC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#16</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B9-4AAB-9855-4AC32F720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B9-4AAB-9855-4AC32F7204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B9-4AAB-9855-4AC32F7204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B9-4AAB-9855-4AC32F7204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B9-4AAB-9855-4AC32F72040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6A4-4CA8-919F-463454EA9750}"/>
              </c:ext>
            </c:extLst>
          </c:dPt>
          <c:val>
            <c:numRef>
              <c:f>ScoringTables!$P$18:$U$18</c:f>
              <c:numCache>
                <c:formatCode>0.00%</c:formatCode>
                <c:ptCount val="6"/>
                <c:pt idx="0">
                  <c:v>0</c:v>
                </c:pt>
                <c:pt idx="1">
                  <c:v>0</c:v>
                </c:pt>
                <c:pt idx="2">
                  <c:v>0</c:v>
                </c:pt>
                <c:pt idx="3">
                  <c:v>0</c:v>
                </c:pt>
                <c:pt idx="4">
                  <c:v>0</c:v>
                </c:pt>
                <c:pt idx="5" formatCode="0">
                  <c:v>1</c:v>
                </c:pt>
              </c:numCache>
            </c:numRef>
          </c:val>
          <c:extLst>
            <c:ext xmlns:c16="http://schemas.microsoft.com/office/drawing/2014/chart" uri="{C3380CC4-5D6E-409C-BE32-E72D297353CC}">
              <c16:uniqueId val="{0000000A-E0B9-4AAB-9855-4AC32F720408}"/>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#17</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C7-4D3D-BA8A-BFD3E775FA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C7-4D3D-BA8A-BFD3E775FA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C7-4D3D-BA8A-BFD3E775FAC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C7-4D3D-BA8A-BFD3E775FAC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C7-4D3D-BA8A-BFD3E775FAC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21-45BA-B480-468CE9C59F82}"/>
              </c:ext>
            </c:extLst>
          </c:dPt>
          <c:val>
            <c:numRef>
              <c:f>ScoringTables!$P$19:$U$19</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E0C7-4D3D-BA8A-BFD3E775FAC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#18</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2A-4DBF-BE93-41B67A3938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2A-4DBF-BE93-41B67A3938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2A-4DBF-BE93-41B67A3938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2A-4DBF-BE93-41B67A3938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2A-4DBF-BE93-41B67A3938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4EC-4DF7-8D3E-B0E08DB7C3EB}"/>
              </c:ext>
            </c:extLst>
          </c:dPt>
          <c:val>
            <c:numRef>
              <c:f>ScoringTables!$P$20:$U$20</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352A-4DBF-BE93-41B67A39381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baseline="0">
                <a:solidFill>
                  <a:sysClr val="windowText" lastClr="000000"/>
                </a:solidFill>
              </a:rPr>
              <a:t>Overall CAS Score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3.5674477972835711E-2"/>
          <c:y val="0.21345769429231765"/>
          <c:w val="0.92865104405432874"/>
          <c:h val="0.71675967721653477"/>
        </c:manualLayout>
      </c:layout>
      <c:doughnutChart>
        <c:varyColors val="1"/>
        <c:ser>
          <c:idx val="0"/>
          <c:order val="0"/>
          <c:spPr>
            <a:solidFill>
              <a:schemeClr val="bg1">
                <a:lumMod val="75000"/>
              </a:schemeClr>
            </a:solidFill>
          </c:spPr>
          <c:explosion val="1"/>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07BD-4E19-8641-1586FAD00E2B}"/>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7BD-4E19-8641-1586FAD00E2B}"/>
              </c:ext>
            </c:extLst>
          </c:dPt>
          <c:dPt>
            <c:idx val="2"/>
            <c:bubble3D val="0"/>
            <c:spPr>
              <a:solidFill>
                <a:srgbClr val="FF6400"/>
              </a:solidFill>
              <a:ln w="19050">
                <a:solidFill>
                  <a:schemeClr val="lt1"/>
                </a:solidFill>
              </a:ln>
              <a:effectLst/>
            </c:spPr>
            <c:extLst>
              <c:ext xmlns:c16="http://schemas.microsoft.com/office/drawing/2014/chart" uri="{C3380CC4-5D6E-409C-BE32-E72D297353CC}">
                <c16:uniqueId val="{00000005-07BD-4E19-8641-1586FAD00E2B}"/>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7-07BD-4E19-8641-1586FAD00E2B}"/>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07BD-4E19-8641-1586FAD00E2B}"/>
              </c:ext>
            </c:extLst>
          </c:dPt>
          <c:val>
            <c:numRef>
              <c:f>ScoringTables!$P$22:$T$22</c:f>
              <c:numCache>
                <c:formatCode>0.00%</c:formatCode>
                <c:ptCount val="5"/>
                <c:pt idx="0">
                  <c:v>1</c:v>
                </c:pt>
                <c:pt idx="1">
                  <c:v>0</c:v>
                </c:pt>
                <c:pt idx="2">
                  <c:v>0</c:v>
                </c:pt>
                <c:pt idx="3">
                  <c:v>0</c:v>
                </c:pt>
                <c:pt idx="4">
                  <c:v>0</c:v>
                </c:pt>
              </c:numCache>
            </c:numRef>
          </c:val>
          <c:extLst>
            <c:ext xmlns:c16="http://schemas.microsoft.com/office/drawing/2014/chart" uri="{C3380CC4-5D6E-409C-BE32-E72D297353CC}">
              <c16:uniqueId val="{0000000A-07BD-4E19-8641-1586FAD00E2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C1-400A-8E7A-E4F888C886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C1-400A-8E7A-E4F888C886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C1-400A-8E7A-E4F888C886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C1-400A-8E7A-E4F888C886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C1-400A-8E7A-E4F888C886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E77-49E6-A0C8-0798BF28785C}"/>
              </c:ext>
            </c:extLst>
          </c:dPt>
          <c:val>
            <c:numRef>
              <c:f>ScoringTables!$P$3:$U$3</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2BC1-400A-8E7A-E4F888C886CB}"/>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#2</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04-4DAE-A3A5-DFF211BE64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04-4DAE-A3A5-DFF211BE64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04-4DAE-A3A5-DFF211BE64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04-4DAE-A3A5-DFF211BE64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04-4DAE-A3A5-DFF211BE64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871-486D-9DBF-93676077E90E}"/>
              </c:ext>
            </c:extLst>
          </c:dPt>
          <c:val>
            <c:numRef>
              <c:f>ScoringTables!$P$4:$U$4</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104-4DAE-A3A5-DFF211BE641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#3</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04-43D4-9E4C-28882917C1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04-43D4-9E4C-28882917C1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04-43D4-9E4C-28882917C1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04-43D4-9E4C-28882917C1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04-43D4-9E4C-28882917C19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39-4EA9-BD78-69C0E2BB33C9}"/>
              </c:ext>
            </c:extLst>
          </c:dPt>
          <c:val>
            <c:numRef>
              <c:f>ScoringTables!$P$5:$U$5</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D404-43D4-9E4C-28882917C19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#5</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0E-4FA5-B1B1-463A53777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0E-4FA5-B1B1-463A537779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0E-4FA5-B1B1-463A537779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0E-4FA5-B1B1-463A537779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0E-4FA5-B1B1-463A537779C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E8-48A1-9BBC-F1A9F1289E1F}"/>
              </c:ext>
            </c:extLst>
          </c:dPt>
          <c:val>
            <c:numRef>
              <c:f>ScoringTables!$P$7:$U$7</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350E-4FA5-B1B1-463A537779C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#6</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35-44D6-8232-BB20A2909B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35-44D6-8232-BB20A2909B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35-44D6-8232-BB20A2909B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35-44D6-8232-BB20A2909B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35-44D6-8232-BB20A2909B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178-4E89-900C-3E01441DA80F}"/>
              </c:ext>
            </c:extLst>
          </c:dPt>
          <c:val>
            <c:numRef>
              <c:f>ScoringTables!$P$8:$U$8</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F235-44D6-8232-BB20A2909B6F}"/>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#8</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2E-495B-B0D3-A71ECB0574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2E-495B-B0D3-A71ECB0574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2E-495B-B0D3-A71ECB0574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2E-495B-B0D3-A71ECB0574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2E-495B-B0D3-A71ECB0574B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43-497D-9BAF-E7247D629FBC}"/>
              </c:ext>
            </c:extLst>
          </c:dPt>
          <c:val>
            <c:numRef>
              <c:f>ScoringTables!$P$10:$U$10</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642E-495B-B0D3-A71ECB0574B9}"/>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#9</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19-4415-B21C-21446C35A7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19-4415-B21C-21446C35A7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19-4415-B21C-21446C35A7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19-4415-B21C-21446C35A7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19-4415-B21C-21446C35A7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0F-49D9-B4FA-16EF41177607}"/>
              </c:ext>
            </c:extLst>
          </c:dPt>
          <c:val>
            <c:numRef>
              <c:f>ScoringTables!$P$11:$U$11</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DF19-4415-B21C-21446C35A7E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#10</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91-4B54-89DE-6C4B0AC65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91-4B54-89DE-6C4B0AC65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91-4B54-89DE-6C4B0AC65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91-4B54-89DE-6C4B0AC65F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91-4B54-89DE-6C4B0AC65F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84-4C35-8A9F-9026C78BCAEB}"/>
              </c:ext>
            </c:extLst>
          </c:dPt>
          <c:val>
            <c:numRef>
              <c:f>ScoringTables!$P$12:$U$12</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7291-4B54-89DE-6C4B0AC65FB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#11</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B-4D5B-A003-416A1F308E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B-4D5B-A003-416A1F308E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B-4D5B-A003-416A1F308E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CB-4D5B-A003-416A1F308E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CB-4D5B-A003-416A1F308E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30-4BD7-87A7-5FEBF73D785B}"/>
              </c:ext>
            </c:extLst>
          </c:dPt>
          <c:val>
            <c:numRef>
              <c:f>ScoringTables!$P$13:$U$13</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0CCB-4D5B-A003-416A1F308E8C}"/>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#12</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11-4EAE-9350-3CB7C8885B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11-4EAE-9350-3CB7C8885B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11-4EAE-9350-3CB7C8885B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11-4EAE-9350-3CB7C8885B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11-4EAE-9350-3CB7C8885BA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33-434F-BC8E-E5C11EC27940}"/>
              </c:ext>
            </c:extLst>
          </c:dPt>
          <c:val>
            <c:numRef>
              <c:f>ScoringTables!$P$14:$U$14</c:f>
              <c:numCache>
                <c:formatCode>0.00%</c:formatCode>
                <c:ptCount val="6"/>
                <c:pt idx="0">
                  <c:v>0</c:v>
                </c:pt>
                <c:pt idx="1">
                  <c:v>0</c:v>
                </c:pt>
                <c:pt idx="2">
                  <c:v>0</c:v>
                </c:pt>
                <c:pt idx="3">
                  <c:v>0</c:v>
                </c:pt>
                <c:pt idx="4">
                  <c:v>0</c:v>
                </c:pt>
                <c:pt idx="5" formatCode="0">
                  <c:v>1</c:v>
                </c:pt>
              </c:numCache>
            </c:numRef>
          </c:val>
          <c:extLst>
            <c:ext xmlns:c16="http://schemas.microsoft.com/office/drawing/2014/chart" uri="{C3380CC4-5D6E-409C-BE32-E72D297353CC}">
              <c16:uniqueId val="{0000000A-BF11-4EAE-9350-3CB7C8885BA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#13</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C7-4441-816E-64FD1767B5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C7-4441-816E-64FD1767B5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C7-4441-816E-64FD1767B5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C7-4441-816E-64FD1767B5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C7-4441-816E-64FD1767B5C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D4-4C22-B9B3-306261E39564}"/>
              </c:ext>
            </c:extLst>
          </c:dPt>
          <c:val>
            <c:numRef>
              <c:f>ScoringTables!$P$15:$U$15</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1BC7-4441-816E-64FD1767B5C3}"/>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#14</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93-43DB-95EF-E85DA9E526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93-43DB-95EF-E85DA9E526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93-43DB-95EF-E85DA9E526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93-43DB-95EF-E85DA9E526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93-43DB-95EF-E85DA9E526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F32-44AD-909A-E52D9A66E3C5}"/>
              </c:ext>
            </c:extLst>
          </c:dPt>
          <c:val>
            <c:numRef>
              <c:f>ScoringTables!$P$16:$U$16</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0193-43DB-95EF-E85DA9E526F4}"/>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#15</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F3-41B4-9D4D-F9EB10DF72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F3-41B4-9D4D-F9EB10DF72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F3-41B4-9D4D-F9EB10DF72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F3-41B4-9D4D-F9EB10DF72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F3-41B4-9D4D-F9EB10DF72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AB-47DE-A5B0-3C0948428141}"/>
              </c:ext>
            </c:extLst>
          </c:dPt>
          <c:val>
            <c:numRef>
              <c:f>ScoringTables!$P$17:$U$17</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36F3-41B4-9D4D-F9EB10DF72E7}"/>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#16</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D-4190-BD6C-076CDEABC7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D-4190-BD6C-076CDEABC7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BD-4190-BD6C-076CDEABC7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BD-4190-BD6C-076CDEABC7B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2BD-4190-BD6C-076CDEABC7B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3B-4EEA-9739-25A16A5E7B02}"/>
              </c:ext>
            </c:extLst>
          </c:dPt>
          <c:val>
            <c:numRef>
              <c:f>ScoringTables!$P$18:$U$18</c:f>
              <c:numCache>
                <c:formatCode>0.00%</c:formatCode>
                <c:ptCount val="6"/>
                <c:pt idx="0">
                  <c:v>0</c:v>
                </c:pt>
                <c:pt idx="1">
                  <c:v>0</c:v>
                </c:pt>
                <c:pt idx="2">
                  <c:v>0</c:v>
                </c:pt>
                <c:pt idx="3">
                  <c:v>0</c:v>
                </c:pt>
                <c:pt idx="4">
                  <c:v>0</c:v>
                </c:pt>
                <c:pt idx="5" formatCode="0">
                  <c:v>1</c:v>
                </c:pt>
              </c:numCache>
            </c:numRef>
          </c:val>
          <c:extLst>
            <c:ext xmlns:c16="http://schemas.microsoft.com/office/drawing/2014/chart" uri="{C3380CC4-5D6E-409C-BE32-E72D297353CC}">
              <c16:uniqueId val="{0000000A-72BD-4190-BD6C-076CDEABC7B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#17</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5F-483C-B51D-D60789CEBB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5F-483C-B51D-D60789CEBB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5F-483C-B51D-D60789CEBB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5F-483C-B51D-D60789CEBB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5F-483C-B51D-D60789CEBB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57-4781-8155-8B25D6892758}"/>
              </c:ext>
            </c:extLst>
          </c:dPt>
          <c:val>
            <c:numRef>
              <c:f>ScoringTables!$P$19:$U$19</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015F-483C-B51D-D60789CEBB4D}"/>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#18</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79-4C08-8BF8-D5944EFF6A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79-4C08-8BF8-D5944EFF6A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79-4C08-8BF8-D5944EFF6A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79-4C08-8BF8-D5944EFF6A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79-4C08-8BF8-D5944EFF6A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4B-4676-870C-5E4FBCA72749}"/>
              </c:ext>
            </c:extLst>
          </c:dPt>
          <c:val>
            <c:numRef>
              <c:f>ScoringTables!$P$20:$U$20</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FE79-4C08-8BF8-D5944EFF6A91}"/>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#7</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C3-4244-B8ED-882E01FC89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C3-4244-B8ED-882E01FC89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C3-4244-B8ED-882E01FC899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C3-4244-B8ED-882E01FC899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6C3-4244-B8ED-882E01FC899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20F-48B7-AA9F-1EC15053DC7E}"/>
              </c:ext>
            </c:extLst>
          </c:dPt>
          <c:val>
            <c:numRef>
              <c:f>ScoringTables!$P$9:$U$9</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66C3-4244-B8ED-882E01FC8990}"/>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r>
              <a:rPr lang="en-US" sz="800" b="1" baseline="0">
                <a:solidFill>
                  <a:sysClr val="windowText" lastClr="000000"/>
                </a:solidFill>
              </a:rPr>
              <a:t>CIS Control #4</a:t>
            </a:r>
            <a:endParaRPr lang="en-US" sz="800" b="1">
              <a:solidFill>
                <a:sysClr val="windowText" lastClr="000000"/>
              </a:solidFill>
            </a:endParaRPr>
          </a:p>
        </c:rich>
      </c:tx>
      <c:overlay val="0"/>
      <c:spPr>
        <a:noFill/>
        <a:ln>
          <a:noFill/>
        </a:ln>
        <a:effectLst/>
      </c:spPr>
      <c:txPr>
        <a:bodyPr rot="0" spcFirstLastPara="1" vertOverflow="ellipsis" vert="horz" wrap="square" anchor="ctr" anchorCtr="1"/>
        <a:lstStyle/>
        <a:p>
          <a:pPr>
            <a:defRPr sz="8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2.9405261226384625E-2"/>
          <c:y val="0.23886007521630559"/>
          <c:w val="0.95589210816042303"/>
          <c:h val="0.7186464546417477"/>
        </c:manualLayout>
      </c:layout>
      <c:doughnutChart>
        <c:varyColors val="1"/>
        <c:ser>
          <c:idx val="0"/>
          <c:order val="0"/>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06-4128-A34A-48675976E6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06-4128-A34A-48675976E6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06-4128-A34A-48675976E6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06-4128-A34A-48675976E6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206-4128-A34A-48675976E6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3C-4BF7-8C32-D95936CC9C4C}"/>
              </c:ext>
            </c:extLst>
          </c:dPt>
          <c:val>
            <c:numRef>
              <c:f>ScoringTables!$P$6:$U$6</c:f>
              <c:numCache>
                <c:formatCode>0.00%</c:formatCode>
                <c:ptCount val="6"/>
                <c:pt idx="0">
                  <c:v>1</c:v>
                </c:pt>
                <c:pt idx="1">
                  <c:v>0</c:v>
                </c:pt>
                <c:pt idx="2">
                  <c:v>0</c:v>
                </c:pt>
                <c:pt idx="3">
                  <c:v>0</c:v>
                </c:pt>
                <c:pt idx="4">
                  <c:v>0</c:v>
                </c:pt>
                <c:pt idx="5" formatCode="0">
                  <c:v>0</c:v>
                </c:pt>
              </c:numCache>
            </c:numRef>
          </c:val>
          <c:extLst>
            <c:ext xmlns:c16="http://schemas.microsoft.com/office/drawing/2014/chart" uri="{C3380CC4-5D6E-409C-BE32-E72D297353CC}">
              <c16:uniqueId val="{0000000A-E206-4128-A34A-48675976E686}"/>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CIS Controls Assessment Specification</a:t>
            </a:r>
            <a:r>
              <a:rPr lang="en-US" b="1" baseline="0">
                <a:solidFill>
                  <a:schemeClr val="tx1"/>
                </a:solidFill>
              </a:rPr>
              <a:t> Score by Control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0446321059887587E-2"/>
          <c:y val="0.13793815688072961"/>
          <c:w val="0.90739072011371802"/>
          <c:h val="0.67095801164005653"/>
        </c:manualLayout>
      </c:layout>
      <c:barChart>
        <c:barDir val="col"/>
        <c:grouping val="clustered"/>
        <c:varyColors val="0"/>
        <c:ser>
          <c:idx val="1"/>
          <c:order val="0"/>
          <c:tx>
            <c:strRef>
              <c:f>ScoringTables!$N$2</c:f>
              <c:strCache>
                <c:ptCount val="1"/>
                <c:pt idx="0">
                  <c:v>Agency Score</c:v>
                </c:pt>
              </c:strCache>
            </c:strRef>
          </c:tx>
          <c:spPr>
            <a:solidFill>
              <a:schemeClr val="tx2">
                <a:lumMod val="60000"/>
                <a:lumOff val="40000"/>
              </a:schemeClr>
            </a:solidFill>
            <a:ln>
              <a:solidFill>
                <a:schemeClr val="tx2">
                  <a:lumMod val="60000"/>
                  <a:lumOff val="40000"/>
                </a:schemeClr>
              </a:solidFill>
            </a:ln>
            <a:effectLst/>
          </c:spPr>
          <c:invertIfNegative val="0"/>
          <c:dLbls>
            <c:dLbl>
              <c:idx val="0"/>
              <c:tx>
                <c:rich>
                  <a:bodyPr/>
                  <a:lstStyle/>
                  <a:p>
                    <a:fld id="{9D22BEB7-860E-4260-95A7-A58712A5628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1D2-40E2-9DFB-DC948903C62B}"/>
                </c:ext>
              </c:extLst>
            </c:dLbl>
            <c:dLbl>
              <c:idx val="1"/>
              <c:tx>
                <c:rich>
                  <a:bodyPr/>
                  <a:lstStyle/>
                  <a:p>
                    <a:fld id="{27209863-2826-4E42-8F20-AAD70CAD58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1D2-40E2-9DFB-DC948903C62B}"/>
                </c:ext>
              </c:extLst>
            </c:dLbl>
            <c:dLbl>
              <c:idx val="2"/>
              <c:tx>
                <c:rich>
                  <a:bodyPr/>
                  <a:lstStyle/>
                  <a:p>
                    <a:fld id="{015D4CAD-7A7F-4451-9C09-DBAEA251BA3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1D2-40E2-9DFB-DC948903C62B}"/>
                </c:ext>
              </c:extLst>
            </c:dLbl>
            <c:dLbl>
              <c:idx val="3"/>
              <c:tx>
                <c:rich>
                  <a:bodyPr/>
                  <a:lstStyle/>
                  <a:p>
                    <a:fld id="{0BA86D2D-E8B8-42CD-8385-239161039F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1D2-40E2-9DFB-DC948903C62B}"/>
                </c:ext>
              </c:extLst>
            </c:dLbl>
            <c:dLbl>
              <c:idx val="4"/>
              <c:tx>
                <c:rich>
                  <a:bodyPr/>
                  <a:lstStyle/>
                  <a:p>
                    <a:fld id="{CF2E6C54-2C27-4149-BC4D-63791650820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1D2-40E2-9DFB-DC948903C62B}"/>
                </c:ext>
              </c:extLst>
            </c:dLbl>
            <c:dLbl>
              <c:idx val="5"/>
              <c:tx>
                <c:rich>
                  <a:bodyPr/>
                  <a:lstStyle/>
                  <a:p>
                    <a:fld id="{533D8D79-E950-4C52-BFA1-EA7628BA7F7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1D2-40E2-9DFB-DC948903C62B}"/>
                </c:ext>
              </c:extLst>
            </c:dLbl>
            <c:dLbl>
              <c:idx val="6"/>
              <c:tx>
                <c:rich>
                  <a:bodyPr/>
                  <a:lstStyle/>
                  <a:p>
                    <a:fld id="{055C8CEB-A1DF-45C8-881B-ABF725452D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1D2-40E2-9DFB-DC948903C62B}"/>
                </c:ext>
              </c:extLst>
            </c:dLbl>
            <c:dLbl>
              <c:idx val="7"/>
              <c:tx>
                <c:rich>
                  <a:bodyPr/>
                  <a:lstStyle/>
                  <a:p>
                    <a:fld id="{836214E9-CBDD-49EF-B08B-D1A71CEAB92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1D2-40E2-9DFB-DC948903C62B}"/>
                </c:ext>
              </c:extLst>
            </c:dLbl>
            <c:dLbl>
              <c:idx val="8"/>
              <c:tx>
                <c:rich>
                  <a:bodyPr/>
                  <a:lstStyle/>
                  <a:p>
                    <a:fld id="{62D797A9-FA94-4FCD-9CD3-545C77B784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1D2-40E2-9DFB-DC948903C62B}"/>
                </c:ext>
              </c:extLst>
            </c:dLbl>
            <c:dLbl>
              <c:idx val="9"/>
              <c:tx>
                <c:rich>
                  <a:bodyPr/>
                  <a:lstStyle/>
                  <a:p>
                    <a:fld id="{291CFEAB-7CC6-4F3B-BD28-221992D23E1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1D2-40E2-9DFB-DC948903C62B}"/>
                </c:ext>
              </c:extLst>
            </c:dLbl>
            <c:dLbl>
              <c:idx val="10"/>
              <c:tx>
                <c:rich>
                  <a:bodyPr/>
                  <a:lstStyle/>
                  <a:p>
                    <a:fld id="{46934653-DE58-4BB6-BE51-5D178ACACC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1D2-40E2-9DFB-DC948903C62B}"/>
                </c:ext>
              </c:extLst>
            </c:dLbl>
            <c:dLbl>
              <c:idx val="11"/>
              <c:tx>
                <c:rich>
                  <a:bodyPr/>
                  <a:lstStyle/>
                  <a:p>
                    <a:fld id="{19AB3AC3-E03A-4009-99D8-DC296F4A9E4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1D2-40E2-9DFB-DC948903C62B}"/>
                </c:ext>
              </c:extLst>
            </c:dLbl>
            <c:dLbl>
              <c:idx val="12"/>
              <c:tx>
                <c:rich>
                  <a:bodyPr/>
                  <a:lstStyle/>
                  <a:p>
                    <a:fld id="{657A5FDB-AD15-45C8-93A0-58F65AA553E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1D2-40E2-9DFB-DC948903C62B}"/>
                </c:ext>
              </c:extLst>
            </c:dLbl>
            <c:dLbl>
              <c:idx val="13"/>
              <c:tx>
                <c:rich>
                  <a:bodyPr/>
                  <a:lstStyle/>
                  <a:p>
                    <a:fld id="{6A33507A-E946-48B4-9149-EEEC8DFB3DE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1D2-40E2-9DFB-DC948903C62B}"/>
                </c:ext>
              </c:extLst>
            </c:dLbl>
            <c:dLbl>
              <c:idx val="14"/>
              <c:tx>
                <c:rich>
                  <a:bodyPr/>
                  <a:lstStyle/>
                  <a:p>
                    <a:fld id="{2D09DE61-DE0F-4A32-A2A8-CCD7A3F153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1D2-40E2-9DFB-DC948903C62B}"/>
                </c:ext>
              </c:extLst>
            </c:dLbl>
            <c:dLbl>
              <c:idx val="15"/>
              <c:tx>
                <c:rich>
                  <a:bodyPr/>
                  <a:lstStyle/>
                  <a:p>
                    <a:fld id="{3F97F487-C632-4D90-8837-94F93C6F643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1D2-40E2-9DFB-DC948903C62B}"/>
                </c:ext>
              </c:extLst>
            </c:dLbl>
            <c:dLbl>
              <c:idx val="16"/>
              <c:tx>
                <c:rich>
                  <a:bodyPr/>
                  <a:lstStyle/>
                  <a:p>
                    <a:fld id="{E501E1DF-D921-47E7-B25D-6CFB5784C98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1D2-40E2-9DFB-DC948903C62B}"/>
                </c:ext>
              </c:extLst>
            </c:dLbl>
            <c:dLbl>
              <c:idx val="17"/>
              <c:tx>
                <c:rich>
                  <a:bodyPr/>
                  <a:lstStyle/>
                  <a:p>
                    <a:fld id="{A1F389FE-CAC4-442A-A963-34DFB0CD0E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1D2-40E2-9DFB-DC948903C6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ScoringTables!$N$3:$N$20</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5="http://schemas.microsoft.com/office/drawing/2012/chart" uri="{02D57815-91ED-43cb-92C2-25804820EDAC}">
              <c15:datalabelsRange>
                <c15:f>ScoringTables!$N$3:$N$20</c15:f>
                <c15:dlblRangeCache>
                  <c:ptCount val="18"/>
                  <c:pt idx="0">
                    <c:v>0%</c:v>
                  </c:pt>
                  <c:pt idx="1">
                    <c:v>0%</c:v>
                  </c:pt>
                  <c:pt idx="2">
                    <c:v>0%</c:v>
                  </c:pt>
                  <c:pt idx="3">
                    <c:v>0%</c:v>
                  </c:pt>
                  <c:pt idx="4">
                    <c:v>0%</c:v>
                  </c:pt>
                  <c:pt idx="5">
                    <c:v>0%</c:v>
                  </c:pt>
                  <c:pt idx="6">
                    <c:v>0%</c:v>
                  </c:pt>
                  <c:pt idx="7">
                    <c:v>0%</c:v>
                  </c:pt>
                  <c:pt idx="8">
                    <c:v>0%</c:v>
                  </c:pt>
                  <c:pt idx="9">
                    <c:v>0%</c:v>
                  </c:pt>
                  <c:pt idx="10">
                    <c:v>0%</c:v>
                  </c:pt>
                  <c:pt idx="11">
                    <c:v>N/A</c:v>
                  </c:pt>
                  <c:pt idx="12">
                    <c:v>0%</c:v>
                  </c:pt>
                  <c:pt idx="13">
                    <c:v>0%</c:v>
                  </c:pt>
                  <c:pt idx="14">
                    <c:v>0%</c:v>
                  </c:pt>
                  <c:pt idx="15">
                    <c:v>N/A</c:v>
                  </c:pt>
                  <c:pt idx="16">
                    <c:v>0%</c:v>
                  </c:pt>
                  <c:pt idx="17">
                    <c:v>0%</c:v>
                  </c:pt>
                </c15:dlblRangeCache>
              </c15:datalabelsRange>
            </c:ext>
            <c:ext xmlns:c16="http://schemas.microsoft.com/office/drawing/2014/chart" uri="{C3380CC4-5D6E-409C-BE32-E72D297353CC}">
              <c16:uniqueId val="{00000001-71D2-40E2-9DFB-DC948903C62B}"/>
            </c:ext>
          </c:extLst>
        </c:ser>
        <c:dLbls>
          <c:showLegendKey val="0"/>
          <c:showVal val="0"/>
          <c:showCatName val="0"/>
          <c:showSerName val="0"/>
          <c:showPercent val="0"/>
          <c:showBubbleSize val="0"/>
        </c:dLbls>
        <c:gapWidth val="120"/>
        <c:axId val="1418523151"/>
        <c:axId val="1418526991"/>
      </c:barChart>
      <c:lineChart>
        <c:grouping val="standard"/>
        <c:varyColors val="0"/>
        <c:ser>
          <c:idx val="2"/>
          <c:order val="1"/>
          <c:tx>
            <c:strRef>
              <c:f>ScoringTables!$W$2</c:f>
              <c:strCache>
                <c:ptCount val="1"/>
                <c:pt idx="0">
                  <c:v>Target</c:v>
                </c:pt>
              </c:strCache>
            </c:strRef>
          </c:tx>
          <c:spPr>
            <a:ln w="28575" cap="rnd">
              <a:solidFill>
                <a:srgbClr val="92D050"/>
              </a:solidFill>
              <a:round/>
            </a:ln>
            <a:effectLst/>
          </c:spPr>
          <c:marker>
            <c:symbol val="none"/>
          </c:marker>
          <c:val>
            <c:numRef>
              <c:f>ScoringTables!$W$3:$W$20</c:f>
              <c:numCache>
                <c:formatCode>0%</c:formatCode>
                <c:ptCount val="18"/>
                <c:pt idx="0">
                  <c:v>0.7</c:v>
                </c:pt>
                <c:pt idx="1">
                  <c:v>0.7</c:v>
                </c:pt>
                <c:pt idx="2">
                  <c:v>0.7</c:v>
                </c:pt>
                <c:pt idx="3">
                  <c:v>0.7</c:v>
                </c:pt>
                <c:pt idx="4">
                  <c:v>0.7</c:v>
                </c:pt>
                <c:pt idx="5">
                  <c:v>0.7</c:v>
                </c:pt>
                <c:pt idx="6">
                  <c:v>0.7</c:v>
                </c:pt>
                <c:pt idx="7">
                  <c:v>0.7</c:v>
                </c:pt>
                <c:pt idx="8">
                  <c:v>0.7</c:v>
                </c:pt>
                <c:pt idx="9">
                  <c:v>0.7</c:v>
                </c:pt>
                <c:pt idx="10">
                  <c:v>0.7</c:v>
                </c:pt>
                <c:pt idx="11">
                  <c:v>0.7</c:v>
                </c:pt>
                <c:pt idx="12">
                  <c:v>0.7</c:v>
                </c:pt>
                <c:pt idx="13">
                  <c:v>0.7</c:v>
                </c:pt>
                <c:pt idx="14">
                  <c:v>0.7</c:v>
                </c:pt>
                <c:pt idx="15">
                  <c:v>0.7</c:v>
                </c:pt>
                <c:pt idx="16">
                  <c:v>0.7</c:v>
                </c:pt>
                <c:pt idx="17">
                  <c:v>0.7</c:v>
                </c:pt>
              </c:numCache>
            </c:numRef>
          </c:val>
          <c:smooth val="0"/>
          <c:extLst>
            <c:ext xmlns:c16="http://schemas.microsoft.com/office/drawing/2014/chart" uri="{C3380CC4-5D6E-409C-BE32-E72D297353CC}">
              <c16:uniqueId val="{00000002-71D2-40E2-9DFB-DC948903C62B}"/>
            </c:ext>
          </c:extLst>
        </c:ser>
        <c:dLbls>
          <c:showLegendKey val="0"/>
          <c:showVal val="0"/>
          <c:showCatName val="0"/>
          <c:showSerName val="0"/>
          <c:showPercent val="0"/>
          <c:showBubbleSize val="0"/>
        </c:dLbls>
        <c:marker val="1"/>
        <c:smooth val="0"/>
        <c:axId val="411773343"/>
        <c:axId val="411771423"/>
      </c:lineChart>
      <c:catAx>
        <c:axId val="1418523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8526991"/>
        <c:crosses val="autoZero"/>
        <c:auto val="1"/>
        <c:lblAlgn val="ctr"/>
        <c:lblOffset val="100"/>
        <c:noMultiLvlLbl val="0"/>
      </c:catAx>
      <c:valAx>
        <c:axId val="141852699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523151"/>
        <c:crosses val="autoZero"/>
        <c:crossBetween val="between"/>
      </c:valAx>
      <c:valAx>
        <c:axId val="411771423"/>
        <c:scaling>
          <c:orientation val="minMax"/>
          <c:max val="1"/>
        </c:scaling>
        <c:delete val="1"/>
        <c:axPos val="r"/>
        <c:numFmt formatCode="0%" sourceLinked="1"/>
        <c:majorTickMark val="out"/>
        <c:minorTickMark val="none"/>
        <c:tickLblPos val="nextTo"/>
        <c:crossAx val="411773343"/>
        <c:crosses val="max"/>
        <c:crossBetween val="between"/>
      </c:valAx>
      <c:catAx>
        <c:axId val="41177334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Control</a:t>
                </a:r>
                <a:r>
                  <a:rPr lang="en-US" b="1" baseline="0"/>
                  <a:t> #</a:t>
                </a:r>
                <a:endParaRPr lang="en-US" b="1"/>
              </a:p>
            </c:rich>
          </c:tx>
          <c:layout>
            <c:manualLayout>
              <c:xMode val="edge"/>
              <c:yMode val="edge"/>
              <c:x val="7.6480135040161434E-2"/>
              <c:y val="0.89777704870224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crossAx val="411771423"/>
        <c:crosses val="autoZero"/>
        <c:auto val="1"/>
        <c:lblAlgn val="ctr"/>
        <c:lblOffset val="100"/>
        <c:noMultiLvlLbl val="0"/>
      </c:catAx>
      <c:spPr>
        <a:noFill/>
        <a:ln>
          <a:noFill/>
        </a:ln>
        <a:effectLst/>
      </c:spPr>
    </c:plotArea>
    <c:legend>
      <c:legendPos val="b"/>
      <c:layout>
        <c:manualLayout>
          <c:xMode val="edge"/>
          <c:yMode val="edge"/>
          <c:x val="0.74153167145515608"/>
          <c:y val="0.89409667541557303"/>
          <c:w val="0.2165398737633574"/>
          <c:h val="6.33282666149751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latin typeface="+mn-lt"/>
              </a:rPr>
              <a:t>Agency</a:t>
            </a:r>
            <a:r>
              <a:rPr lang="en-US" b="1" baseline="0">
                <a:solidFill>
                  <a:sysClr val="windowText" lastClr="000000"/>
                </a:solidFill>
                <a:latin typeface="+mn-lt"/>
              </a:rPr>
              <a:t> Implementation vs Enterprise Average</a:t>
            </a:r>
            <a:endParaRPr lang="en-US" b="1">
              <a:solidFill>
                <a:sysClr val="windowText" lastClr="000000"/>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1"/>
          <c:order val="1"/>
          <c:tx>
            <c:strRef>
              <c:f>ScoringTables!$V$2</c:f>
              <c:strCache>
                <c:ptCount val="1"/>
                <c:pt idx="0">
                  <c:v>Enterprise Average</c:v>
                </c:pt>
              </c:strCache>
            </c:strRef>
          </c:tx>
          <c:spPr>
            <a:solidFill>
              <a:schemeClr val="bg1">
                <a:lumMod val="75000"/>
              </a:schemeClr>
            </a:solidFill>
            <a:ln>
              <a:noFill/>
            </a:ln>
            <a:effectLst/>
          </c:spPr>
          <c:invertIfNegative val="0"/>
          <c:cat>
            <c:strRef>
              <c:f>ScoringTables!$M$3:$M$20</c:f>
              <c:strCache>
                <c:ptCount val="18"/>
                <c:pt idx="0">
                  <c:v>Inventory and Control of Enterprise Assets</c:v>
                </c:pt>
                <c:pt idx="1">
                  <c:v>Inventory and Control of Software Assets</c:v>
                </c:pt>
                <c:pt idx="2">
                  <c:v>Data Protection</c:v>
                </c:pt>
                <c:pt idx="3">
                  <c:v>Secure Configuration of Enterprise Assets and Software</c:v>
                </c:pt>
                <c:pt idx="4">
                  <c:v>Account Management</c:v>
                </c:pt>
                <c:pt idx="5">
                  <c:v>Access Control Management</c:v>
                </c:pt>
                <c:pt idx="6">
                  <c:v>Continuous Vulnerability Management</c:v>
                </c:pt>
                <c:pt idx="7">
                  <c:v>Audit Log Management</c:v>
                </c:pt>
                <c:pt idx="8">
                  <c:v>Email and Web Browser Protections</c:v>
                </c:pt>
                <c:pt idx="9">
                  <c:v>Malware Defenses</c:v>
                </c:pt>
                <c:pt idx="10">
                  <c:v>Data Recovery</c:v>
                </c:pt>
                <c:pt idx="11">
                  <c:v>Network Infrastructure Management</c:v>
                </c:pt>
                <c:pt idx="12">
                  <c:v>Network Monitoring &amp; Defense</c:v>
                </c:pt>
                <c:pt idx="13">
                  <c:v>Security Awareness and Skills Training</c:v>
                </c:pt>
                <c:pt idx="14">
                  <c:v>Service Provider Management</c:v>
                </c:pt>
                <c:pt idx="15">
                  <c:v>Application Software Security</c:v>
                </c:pt>
                <c:pt idx="16">
                  <c:v>Incident Response Management</c:v>
                </c:pt>
                <c:pt idx="17">
                  <c:v>Penetration Testing</c:v>
                </c:pt>
              </c:strCache>
            </c:strRef>
          </c:cat>
          <c:val>
            <c:numRef>
              <c:f>ScoringTables!$V$3:$V$20</c:f>
              <c:numCache>
                <c:formatCode>0.00%</c:formatCode>
                <c:ptCount val="18"/>
                <c:pt idx="0">
                  <c:v>0.61028800000000016</c:v>
                </c:pt>
                <c:pt idx="1">
                  <c:v>0.616896</c:v>
                </c:pt>
                <c:pt idx="2">
                  <c:v>0.57430000000000003</c:v>
                </c:pt>
                <c:pt idx="3">
                  <c:v>0.59785600000000017</c:v>
                </c:pt>
                <c:pt idx="4">
                  <c:v>0.69809600000000005</c:v>
                </c:pt>
                <c:pt idx="5">
                  <c:v>0.50008000000000008</c:v>
                </c:pt>
                <c:pt idx="6">
                  <c:v>0.69395200000000012</c:v>
                </c:pt>
                <c:pt idx="7">
                  <c:v>0.63201600000000013</c:v>
                </c:pt>
                <c:pt idx="8">
                  <c:v>0.6287680000000001</c:v>
                </c:pt>
                <c:pt idx="9">
                  <c:v>0.85904000000000014</c:v>
                </c:pt>
                <c:pt idx="10">
                  <c:v>0.76249999999999996</c:v>
                </c:pt>
                <c:pt idx="11">
                  <c:v>0</c:v>
                </c:pt>
                <c:pt idx="12">
                  <c:v>0.96600000000000019</c:v>
                </c:pt>
                <c:pt idx="13">
                  <c:v>0.83832000000000018</c:v>
                </c:pt>
                <c:pt idx="14">
                  <c:v>0.45830400000000004</c:v>
                </c:pt>
                <c:pt idx="15">
                  <c:v>0</c:v>
                </c:pt>
                <c:pt idx="16">
                  <c:v>0.45819200000000004</c:v>
                </c:pt>
                <c:pt idx="17">
                  <c:v>0.88439999999999996</c:v>
                </c:pt>
              </c:numCache>
            </c:numRef>
          </c:val>
          <c:extLst>
            <c:ext xmlns:c16="http://schemas.microsoft.com/office/drawing/2014/chart" uri="{C3380CC4-5D6E-409C-BE32-E72D297353CC}">
              <c16:uniqueId val="{00000001-A22A-4B56-8753-300897495892}"/>
            </c:ext>
          </c:extLst>
        </c:ser>
        <c:dLbls>
          <c:showLegendKey val="0"/>
          <c:showVal val="0"/>
          <c:showCatName val="0"/>
          <c:showSerName val="0"/>
          <c:showPercent val="0"/>
          <c:showBubbleSize val="0"/>
        </c:dLbls>
        <c:gapWidth val="30"/>
        <c:overlap val="100"/>
        <c:axId val="1616996816"/>
        <c:axId val="1617002096"/>
      </c:barChart>
      <c:barChart>
        <c:barDir val="bar"/>
        <c:grouping val="stacked"/>
        <c:varyColors val="0"/>
        <c:ser>
          <c:idx val="0"/>
          <c:order val="0"/>
          <c:tx>
            <c:strRef>
              <c:f>ScoringTables!$N$2</c:f>
              <c:strCache>
                <c:ptCount val="1"/>
                <c:pt idx="0">
                  <c:v>Agency Score</c:v>
                </c:pt>
              </c:strCache>
            </c:strRef>
          </c:tx>
          <c:spPr>
            <a:solidFill>
              <a:schemeClr val="tx2"/>
            </a:solidFill>
            <a:ln>
              <a:noFill/>
            </a:ln>
            <a:effectLst/>
          </c:spPr>
          <c:invertIfNegative val="0"/>
          <c:cat>
            <c:strRef>
              <c:f>ScoringTables!$M$3:$M$20</c:f>
              <c:strCache>
                <c:ptCount val="18"/>
                <c:pt idx="0">
                  <c:v>Inventory and Control of Enterprise Assets</c:v>
                </c:pt>
                <c:pt idx="1">
                  <c:v>Inventory and Control of Software Assets</c:v>
                </c:pt>
                <c:pt idx="2">
                  <c:v>Data Protection</c:v>
                </c:pt>
                <c:pt idx="3">
                  <c:v>Secure Configuration of Enterprise Assets and Software</c:v>
                </c:pt>
                <c:pt idx="4">
                  <c:v>Account Management</c:v>
                </c:pt>
                <c:pt idx="5">
                  <c:v>Access Control Management</c:v>
                </c:pt>
                <c:pt idx="6">
                  <c:v>Continuous Vulnerability Management</c:v>
                </c:pt>
                <c:pt idx="7">
                  <c:v>Audit Log Management</c:v>
                </c:pt>
                <c:pt idx="8">
                  <c:v>Email and Web Browser Protections</c:v>
                </c:pt>
                <c:pt idx="9">
                  <c:v>Malware Defenses</c:v>
                </c:pt>
                <c:pt idx="10">
                  <c:v>Data Recovery</c:v>
                </c:pt>
                <c:pt idx="11">
                  <c:v>Network Infrastructure Management</c:v>
                </c:pt>
                <c:pt idx="12">
                  <c:v>Network Monitoring &amp; Defense</c:v>
                </c:pt>
                <c:pt idx="13">
                  <c:v>Security Awareness and Skills Training</c:v>
                </c:pt>
                <c:pt idx="14">
                  <c:v>Service Provider Management</c:v>
                </c:pt>
                <c:pt idx="15">
                  <c:v>Application Software Security</c:v>
                </c:pt>
                <c:pt idx="16">
                  <c:v>Incident Response Management</c:v>
                </c:pt>
                <c:pt idx="17">
                  <c:v>Penetration Testing</c:v>
                </c:pt>
              </c:strCache>
            </c:strRef>
          </c:cat>
          <c:val>
            <c:numRef>
              <c:f>ScoringTables!$N$3:$N$20</c:f>
              <c:numCache>
                <c:formatCode>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A22A-4B56-8753-300897495892}"/>
            </c:ext>
          </c:extLst>
        </c:ser>
        <c:dLbls>
          <c:showLegendKey val="0"/>
          <c:showVal val="0"/>
          <c:showCatName val="0"/>
          <c:showSerName val="0"/>
          <c:showPercent val="0"/>
          <c:showBubbleSize val="0"/>
        </c:dLbls>
        <c:gapWidth val="120"/>
        <c:overlap val="100"/>
        <c:axId val="1400397968"/>
        <c:axId val="1875023376"/>
      </c:barChart>
      <c:catAx>
        <c:axId val="16169968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17002096"/>
        <c:crosses val="autoZero"/>
        <c:auto val="1"/>
        <c:lblAlgn val="ctr"/>
        <c:lblOffset val="100"/>
        <c:noMultiLvlLbl val="0"/>
      </c:catAx>
      <c:valAx>
        <c:axId val="1617002096"/>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996816"/>
        <c:crosses val="max"/>
        <c:crossBetween val="between"/>
        <c:majorUnit val="5.000000000000001E-2"/>
      </c:valAx>
      <c:valAx>
        <c:axId val="1875023376"/>
        <c:scaling>
          <c:orientation val="minMax"/>
          <c:max val="1"/>
        </c:scaling>
        <c:delete val="1"/>
        <c:axPos val="b"/>
        <c:numFmt formatCode="0%" sourceLinked="1"/>
        <c:majorTickMark val="out"/>
        <c:minorTickMark val="none"/>
        <c:tickLblPos val="nextTo"/>
        <c:crossAx val="1400397968"/>
        <c:crosses val="max"/>
        <c:crossBetween val="between"/>
        <c:majorUnit val="5.000000000000001E-2"/>
      </c:valAx>
      <c:catAx>
        <c:axId val="1400397968"/>
        <c:scaling>
          <c:orientation val="maxMin"/>
        </c:scaling>
        <c:delete val="1"/>
        <c:axPos val="r"/>
        <c:numFmt formatCode="General" sourceLinked="1"/>
        <c:majorTickMark val="out"/>
        <c:minorTickMark val="none"/>
        <c:tickLblPos val="nextTo"/>
        <c:crossAx val="1875023376"/>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41" Type="http://schemas.openxmlformats.org/officeDocument/2006/relationships/chart" Target="../charts/chart4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xdr:col>
      <xdr:colOff>6561</xdr:colOff>
      <xdr:row>0</xdr:row>
      <xdr:rowOff>188461</xdr:rowOff>
    </xdr:from>
    <xdr:to>
      <xdr:col>30</xdr:col>
      <xdr:colOff>2366</xdr:colOff>
      <xdr:row>8</xdr:row>
      <xdr:rowOff>176135</xdr:rowOff>
    </xdr:to>
    <xdr:graphicFrame macro="">
      <xdr:nvGraphicFramePr>
        <xdr:cNvPr id="6" name="Chart 5">
          <a:extLst>
            <a:ext uri="{FF2B5EF4-FFF2-40B4-BE49-F238E27FC236}">
              <a16:creationId xmlns:a16="http://schemas.microsoft.com/office/drawing/2014/main" id="{AFD3A1FD-A7F7-42B9-2CF1-83E93CB9B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23813</xdr:colOff>
      <xdr:row>0</xdr:row>
      <xdr:rowOff>182216</xdr:rowOff>
    </xdr:from>
    <xdr:to>
      <xdr:col>45</xdr:col>
      <xdr:colOff>11906</xdr:colOff>
      <xdr:row>14</xdr:row>
      <xdr:rowOff>185487</xdr:rowOff>
    </xdr:to>
    <xdr:grpSp>
      <xdr:nvGrpSpPr>
        <xdr:cNvPr id="10" name="Group 9">
          <a:extLst>
            <a:ext uri="{FF2B5EF4-FFF2-40B4-BE49-F238E27FC236}">
              <a16:creationId xmlns:a16="http://schemas.microsoft.com/office/drawing/2014/main" id="{C7E6DECC-2D10-4D7D-8180-584DAD2BAD44}"/>
            </a:ext>
          </a:extLst>
        </xdr:cNvPr>
        <xdr:cNvGrpSpPr/>
      </xdr:nvGrpSpPr>
      <xdr:grpSpPr>
        <a:xfrm>
          <a:off x="7691438" y="182216"/>
          <a:ext cx="2178843" cy="2670271"/>
          <a:chOff x="416329" y="-537463"/>
          <a:chExt cx="3124200" cy="2743200"/>
        </a:xfrm>
      </xdr:grpSpPr>
      <xdr:graphicFrame macro="">
        <xdr:nvGraphicFramePr>
          <xdr:cNvPr id="11" name="Chart 10">
            <a:extLst>
              <a:ext uri="{FF2B5EF4-FFF2-40B4-BE49-F238E27FC236}">
                <a16:creationId xmlns:a16="http://schemas.microsoft.com/office/drawing/2014/main" id="{24BAE65D-3AFC-64DE-422C-19568EAB635D}"/>
              </a:ext>
            </a:extLst>
          </xdr:cNvPr>
          <xdr:cNvGraphicFramePr>
            <a:graphicFrameLocks/>
          </xdr:cNvGraphicFramePr>
        </xdr:nvGraphicFramePr>
        <xdr:xfrm>
          <a:off x="416329" y="-537463"/>
          <a:ext cx="3124200" cy="2743200"/>
        </xdr:xfrm>
        <a:graphic>
          <a:graphicData uri="http://schemas.openxmlformats.org/drawingml/2006/chart">
            <c:chart xmlns:c="http://schemas.openxmlformats.org/drawingml/2006/chart" xmlns:r="http://schemas.openxmlformats.org/officeDocument/2006/relationships" r:id="rId2"/>
          </a:graphicData>
        </a:graphic>
      </xdr:graphicFrame>
      <xdr:sp macro="" textlink="ScoringTables!N22">
        <xdr:nvSpPr>
          <xdr:cNvPr id="12" name="TextBox 11">
            <a:extLst>
              <a:ext uri="{FF2B5EF4-FFF2-40B4-BE49-F238E27FC236}">
                <a16:creationId xmlns:a16="http://schemas.microsoft.com/office/drawing/2014/main" id="{A1C00ED7-CAE2-B8E7-CD09-3C3F76BB7894}"/>
              </a:ext>
            </a:extLst>
          </xdr:cNvPr>
          <xdr:cNvSpPr txBox="1"/>
        </xdr:nvSpPr>
        <xdr:spPr>
          <a:xfrm>
            <a:off x="1241787" y="714254"/>
            <a:ext cx="1465337" cy="53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5F3D540-9340-4393-A2AB-CE6A0994BCDD}" type="TxLink">
              <a:rPr lang="en-US" sz="2000" b="1" i="0" u="none" strike="noStrike">
                <a:solidFill>
                  <a:srgbClr val="000000"/>
                </a:solidFill>
                <a:latin typeface="Calibri"/>
                <a:ea typeface="Calibri"/>
                <a:cs typeface="Calibri"/>
              </a:rPr>
              <a:pPr algn="ctr"/>
              <a:t>0.00%</a:t>
            </a:fld>
            <a:endParaRPr lang="en-US" sz="2000" b="1">
              <a:latin typeface="+mn-lt"/>
            </a:endParaRPr>
          </a:p>
        </xdr:txBody>
      </xdr:sp>
    </xdr:grpSp>
    <xdr:clientData/>
  </xdr:twoCellAnchor>
  <xdr:twoCellAnchor>
    <xdr:from>
      <xdr:col>45</xdr:col>
      <xdr:colOff>15949</xdr:colOff>
      <xdr:row>0</xdr:row>
      <xdr:rowOff>184547</xdr:rowOff>
    </xdr:from>
    <xdr:to>
      <xdr:col>49</xdr:col>
      <xdr:colOff>213696</xdr:colOff>
      <xdr:row>8</xdr:row>
      <xdr:rowOff>0</xdr:rowOff>
    </xdr:to>
    <xdr:grpSp>
      <xdr:nvGrpSpPr>
        <xdr:cNvPr id="29" name="Group 28">
          <a:extLst>
            <a:ext uri="{FF2B5EF4-FFF2-40B4-BE49-F238E27FC236}">
              <a16:creationId xmlns:a16="http://schemas.microsoft.com/office/drawing/2014/main" id="{E7F554BF-B820-4951-9AA7-1F946F554494}"/>
            </a:ext>
          </a:extLst>
        </xdr:cNvPr>
        <xdr:cNvGrpSpPr/>
      </xdr:nvGrpSpPr>
      <xdr:grpSpPr>
        <a:xfrm>
          <a:off x="9874324" y="184547"/>
          <a:ext cx="1074047" cy="1339453"/>
          <a:chOff x="-13232249" y="-3109961"/>
          <a:chExt cx="3124200" cy="2743200"/>
        </a:xfrm>
      </xdr:grpSpPr>
      <xdr:graphicFrame macro="">
        <xdr:nvGraphicFramePr>
          <xdr:cNvPr id="30" name="Chart 29">
            <a:extLst>
              <a:ext uri="{FF2B5EF4-FFF2-40B4-BE49-F238E27FC236}">
                <a16:creationId xmlns:a16="http://schemas.microsoft.com/office/drawing/2014/main" id="{0F5F69A1-DC03-876F-F069-A28DF9BD3CD3}"/>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3"/>
          </a:graphicData>
        </a:graphic>
      </xdr:graphicFrame>
      <xdr:sp macro="" textlink="ScoringTables!N3">
        <xdr:nvSpPr>
          <xdr:cNvPr id="31" name="TextBox 30">
            <a:extLst>
              <a:ext uri="{FF2B5EF4-FFF2-40B4-BE49-F238E27FC236}">
                <a16:creationId xmlns:a16="http://schemas.microsoft.com/office/drawing/2014/main" id="{C01A44B4-8D34-49E4-2298-4AA6EA50C3DE}"/>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A5440E1-38B5-4871-A50D-0FE222E1269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50</xdr:col>
      <xdr:colOff>23813</xdr:colOff>
      <xdr:row>0</xdr:row>
      <xdr:rowOff>184547</xdr:rowOff>
    </xdr:from>
    <xdr:to>
      <xdr:col>55</xdr:col>
      <xdr:colOff>1294</xdr:colOff>
      <xdr:row>8</xdr:row>
      <xdr:rowOff>0</xdr:rowOff>
    </xdr:to>
    <xdr:grpSp>
      <xdr:nvGrpSpPr>
        <xdr:cNvPr id="38" name="Group 37">
          <a:extLst>
            <a:ext uri="{FF2B5EF4-FFF2-40B4-BE49-F238E27FC236}">
              <a16:creationId xmlns:a16="http://schemas.microsoft.com/office/drawing/2014/main" id="{CF7873AC-74D5-40D1-AD94-CFE4A17B9CD3}"/>
            </a:ext>
          </a:extLst>
        </xdr:cNvPr>
        <xdr:cNvGrpSpPr/>
      </xdr:nvGrpSpPr>
      <xdr:grpSpPr>
        <a:xfrm>
          <a:off x="10977563" y="184547"/>
          <a:ext cx="1072856" cy="1339453"/>
          <a:chOff x="-13801171" y="-3122153"/>
          <a:chExt cx="3124200" cy="2743200"/>
        </a:xfrm>
      </xdr:grpSpPr>
      <xdr:graphicFrame macro="">
        <xdr:nvGraphicFramePr>
          <xdr:cNvPr id="39" name="Chart 38">
            <a:extLst>
              <a:ext uri="{FF2B5EF4-FFF2-40B4-BE49-F238E27FC236}">
                <a16:creationId xmlns:a16="http://schemas.microsoft.com/office/drawing/2014/main" id="{54EF946E-18A5-0500-6071-F92392A0CF5A}"/>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4"/>
          </a:graphicData>
        </a:graphic>
      </xdr:graphicFrame>
      <xdr:sp macro="" textlink="ScoringTables!N4">
        <xdr:nvSpPr>
          <xdr:cNvPr id="40" name="TextBox 39">
            <a:extLst>
              <a:ext uri="{FF2B5EF4-FFF2-40B4-BE49-F238E27FC236}">
                <a16:creationId xmlns:a16="http://schemas.microsoft.com/office/drawing/2014/main" id="{8C81F961-5814-5945-EB69-21F197D43F67}"/>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3C579DD1-3EF5-4E62-BE05-142CCC394343}"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55</xdr:col>
      <xdr:colOff>23811</xdr:colOff>
      <xdr:row>0</xdr:row>
      <xdr:rowOff>184547</xdr:rowOff>
    </xdr:from>
    <xdr:to>
      <xdr:col>60</xdr:col>
      <xdr:colOff>1293</xdr:colOff>
      <xdr:row>8</xdr:row>
      <xdr:rowOff>0</xdr:rowOff>
    </xdr:to>
    <xdr:grpSp>
      <xdr:nvGrpSpPr>
        <xdr:cNvPr id="41" name="Group 40">
          <a:extLst>
            <a:ext uri="{FF2B5EF4-FFF2-40B4-BE49-F238E27FC236}">
              <a16:creationId xmlns:a16="http://schemas.microsoft.com/office/drawing/2014/main" id="{17DA58BE-8989-4677-BC4D-003450CAAFE4}"/>
            </a:ext>
          </a:extLst>
        </xdr:cNvPr>
        <xdr:cNvGrpSpPr/>
      </xdr:nvGrpSpPr>
      <xdr:grpSpPr>
        <a:xfrm>
          <a:off x="12072936" y="184547"/>
          <a:ext cx="1072857" cy="1339453"/>
          <a:chOff x="-15697579" y="-4304777"/>
          <a:chExt cx="3124200" cy="2743200"/>
        </a:xfrm>
      </xdr:grpSpPr>
      <xdr:graphicFrame macro="">
        <xdr:nvGraphicFramePr>
          <xdr:cNvPr id="42" name="Chart 41">
            <a:extLst>
              <a:ext uri="{FF2B5EF4-FFF2-40B4-BE49-F238E27FC236}">
                <a16:creationId xmlns:a16="http://schemas.microsoft.com/office/drawing/2014/main" id="{E77A7449-71F2-825F-A733-8940C6E6F2A5}"/>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5"/>
          </a:graphicData>
        </a:graphic>
      </xdr:graphicFrame>
      <xdr:sp macro="" textlink="ScoringTables!N5">
        <xdr:nvSpPr>
          <xdr:cNvPr id="43" name="TextBox 42">
            <a:extLst>
              <a:ext uri="{FF2B5EF4-FFF2-40B4-BE49-F238E27FC236}">
                <a16:creationId xmlns:a16="http://schemas.microsoft.com/office/drawing/2014/main" id="{4CC98BF3-A029-4396-1A98-BD2DC627C422}"/>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A12D2018-DE72-4532-9FA7-FCAB8B3EC5BF}"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45</xdr:col>
      <xdr:colOff>23812</xdr:colOff>
      <xdr:row>8</xdr:row>
      <xdr:rowOff>10026</xdr:rowOff>
    </xdr:from>
    <xdr:to>
      <xdr:col>50</xdr:col>
      <xdr:colOff>1294</xdr:colOff>
      <xdr:row>15</xdr:row>
      <xdr:rowOff>0</xdr:rowOff>
    </xdr:to>
    <xdr:grpSp>
      <xdr:nvGrpSpPr>
        <xdr:cNvPr id="44" name="Group 43">
          <a:extLst>
            <a:ext uri="{FF2B5EF4-FFF2-40B4-BE49-F238E27FC236}">
              <a16:creationId xmlns:a16="http://schemas.microsoft.com/office/drawing/2014/main" id="{71BF8552-8F0D-48A7-AB71-A54FF34CB44C}"/>
            </a:ext>
          </a:extLst>
        </xdr:cNvPr>
        <xdr:cNvGrpSpPr/>
      </xdr:nvGrpSpPr>
      <xdr:grpSpPr>
        <a:xfrm>
          <a:off x="9882187" y="1534026"/>
          <a:ext cx="1072857" cy="1323474"/>
          <a:chOff x="-13232249" y="-3109961"/>
          <a:chExt cx="3124200" cy="2743200"/>
        </a:xfrm>
      </xdr:grpSpPr>
      <xdr:graphicFrame macro="">
        <xdr:nvGraphicFramePr>
          <xdr:cNvPr id="45" name="Chart 44">
            <a:extLst>
              <a:ext uri="{FF2B5EF4-FFF2-40B4-BE49-F238E27FC236}">
                <a16:creationId xmlns:a16="http://schemas.microsoft.com/office/drawing/2014/main" id="{91D7AD98-DA48-B608-C46B-DB8B4358557C}"/>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6"/>
          </a:graphicData>
        </a:graphic>
      </xdr:graphicFrame>
      <xdr:sp macro="" textlink="ScoringTables!N6">
        <xdr:nvSpPr>
          <xdr:cNvPr id="46" name="TextBox 45">
            <a:extLst>
              <a:ext uri="{FF2B5EF4-FFF2-40B4-BE49-F238E27FC236}">
                <a16:creationId xmlns:a16="http://schemas.microsoft.com/office/drawing/2014/main" id="{D701213F-29D7-70BC-C0D7-47094E3DCD51}"/>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DB3B6E4D-C8F4-40D2-B3F1-1E696A30A89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50</xdr:col>
      <xdr:colOff>20094</xdr:colOff>
      <xdr:row>8</xdr:row>
      <xdr:rowOff>10026</xdr:rowOff>
    </xdr:from>
    <xdr:to>
      <xdr:col>54</xdr:col>
      <xdr:colOff>218154</xdr:colOff>
      <xdr:row>15</xdr:row>
      <xdr:rowOff>0</xdr:rowOff>
    </xdr:to>
    <xdr:grpSp>
      <xdr:nvGrpSpPr>
        <xdr:cNvPr id="47" name="Group 46">
          <a:extLst>
            <a:ext uri="{FF2B5EF4-FFF2-40B4-BE49-F238E27FC236}">
              <a16:creationId xmlns:a16="http://schemas.microsoft.com/office/drawing/2014/main" id="{764F06B6-4FA1-4C96-BB19-F85951117CCA}"/>
            </a:ext>
          </a:extLst>
        </xdr:cNvPr>
        <xdr:cNvGrpSpPr/>
      </xdr:nvGrpSpPr>
      <xdr:grpSpPr>
        <a:xfrm>
          <a:off x="10973844" y="1534026"/>
          <a:ext cx="1074360" cy="1323474"/>
          <a:chOff x="-13801171" y="-3122153"/>
          <a:chExt cx="3124200" cy="2743200"/>
        </a:xfrm>
      </xdr:grpSpPr>
      <xdr:graphicFrame macro="">
        <xdr:nvGraphicFramePr>
          <xdr:cNvPr id="48" name="Chart 47">
            <a:extLst>
              <a:ext uri="{FF2B5EF4-FFF2-40B4-BE49-F238E27FC236}">
                <a16:creationId xmlns:a16="http://schemas.microsoft.com/office/drawing/2014/main" id="{E101EA5D-8240-8B56-A576-5FCD2810B2E9}"/>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7"/>
          </a:graphicData>
        </a:graphic>
      </xdr:graphicFrame>
      <xdr:sp macro="" textlink="ScoringTables!N7">
        <xdr:nvSpPr>
          <xdr:cNvPr id="49" name="TextBox 48">
            <a:extLst>
              <a:ext uri="{FF2B5EF4-FFF2-40B4-BE49-F238E27FC236}">
                <a16:creationId xmlns:a16="http://schemas.microsoft.com/office/drawing/2014/main" id="{E379D49D-1458-A38C-4F7B-F6FB10D72E1E}"/>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7B8785C2-3A07-40A8-A2B0-9063DBDBA16C}"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55</xdr:col>
      <xdr:colOff>20092</xdr:colOff>
      <xdr:row>8</xdr:row>
      <xdr:rowOff>5013</xdr:rowOff>
    </xdr:from>
    <xdr:to>
      <xdr:col>59</xdr:col>
      <xdr:colOff>218153</xdr:colOff>
      <xdr:row>15</xdr:row>
      <xdr:rowOff>0</xdr:rowOff>
    </xdr:to>
    <xdr:grpSp>
      <xdr:nvGrpSpPr>
        <xdr:cNvPr id="50" name="Group 49">
          <a:extLst>
            <a:ext uri="{FF2B5EF4-FFF2-40B4-BE49-F238E27FC236}">
              <a16:creationId xmlns:a16="http://schemas.microsoft.com/office/drawing/2014/main" id="{61F3B8FA-D448-4C14-8D25-027B6CC3BC14}"/>
            </a:ext>
          </a:extLst>
        </xdr:cNvPr>
        <xdr:cNvGrpSpPr/>
      </xdr:nvGrpSpPr>
      <xdr:grpSpPr>
        <a:xfrm>
          <a:off x="12069217" y="1529013"/>
          <a:ext cx="1074361" cy="1328487"/>
          <a:chOff x="-15697579" y="-4304777"/>
          <a:chExt cx="3124200" cy="2743200"/>
        </a:xfrm>
      </xdr:grpSpPr>
      <xdr:graphicFrame macro="">
        <xdr:nvGraphicFramePr>
          <xdr:cNvPr id="51" name="Chart 50">
            <a:extLst>
              <a:ext uri="{FF2B5EF4-FFF2-40B4-BE49-F238E27FC236}">
                <a16:creationId xmlns:a16="http://schemas.microsoft.com/office/drawing/2014/main" id="{4F790185-E62D-497A-FE64-1B52D4110D0A}"/>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8"/>
          </a:graphicData>
        </a:graphic>
      </xdr:graphicFrame>
      <xdr:sp macro="" textlink="ScoringTables!N8">
        <xdr:nvSpPr>
          <xdr:cNvPr id="52" name="TextBox 51">
            <a:extLst>
              <a:ext uri="{FF2B5EF4-FFF2-40B4-BE49-F238E27FC236}">
                <a16:creationId xmlns:a16="http://schemas.microsoft.com/office/drawing/2014/main" id="{F830C1BE-1451-689E-744A-3E8227DC66E5}"/>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F31A12DB-C3E4-4BF0-A65E-E3240AB050BD}"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35</xdr:col>
      <xdr:colOff>20060</xdr:colOff>
      <xdr:row>15</xdr:row>
      <xdr:rowOff>5016</xdr:rowOff>
    </xdr:from>
    <xdr:to>
      <xdr:col>39</xdr:col>
      <xdr:colOff>218121</xdr:colOff>
      <xdr:row>22</xdr:row>
      <xdr:rowOff>943</xdr:rowOff>
    </xdr:to>
    <xdr:grpSp>
      <xdr:nvGrpSpPr>
        <xdr:cNvPr id="53" name="Group 52">
          <a:extLst>
            <a:ext uri="{FF2B5EF4-FFF2-40B4-BE49-F238E27FC236}">
              <a16:creationId xmlns:a16="http://schemas.microsoft.com/office/drawing/2014/main" id="{DA55C290-38A3-4390-B18A-F9A9E949624F}"/>
            </a:ext>
          </a:extLst>
        </xdr:cNvPr>
        <xdr:cNvGrpSpPr/>
      </xdr:nvGrpSpPr>
      <xdr:grpSpPr>
        <a:xfrm>
          <a:off x="7687685" y="2862516"/>
          <a:ext cx="1074361" cy="1338952"/>
          <a:chOff x="-13232249" y="-3109961"/>
          <a:chExt cx="3124200" cy="2743200"/>
        </a:xfrm>
      </xdr:grpSpPr>
      <xdr:graphicFrame macro="">
        <xdr:nvGraphicFramePr>
          <xdr:cNvPr id="54" name="Chart 53">
            <a:extLst>
              <a:ext uri="{FF2B5EF4-FFF2-40B4-BE49-F238E27FC236}">
                <a16:creationId xmlns:a16="http://schemas.microsoft.com/office/drawing/2014/main" id="{A3E62103-8619-87DF-9236-49DB79DA0CCA}"/>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9"/>
          </a:graphicData>
        </a:graphic>
      </xdr:graphicFrame>
      <xdr:sp macro="" textlink="ScoringTables!N9">
        <xdr:nvSpPr>
          <xdr:cNvPr id="55" name="TextBox 54">
            <a:extLst>
              <a:ext uri="{FF2B5EF4-FFF2-40B4-BE49-F238E27FC236}">
                <a16:creationId xmlns:a16="http://schemas.microsoft.com/office/drawing/2014/main" id="{A1A69939-5DEA-F61B-D483-2C6B2D714DA9}"/>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430F5DAD-0A78-4314-A08D-EAB77E9DC68D}"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40</xdr:col>
      <xdr:colOff>21355</xdr:colOff>
      <xdr:row>15</xdr:row>
      <xdr:rowOff>10026</xdr:rowOff>
    </xdr:from>
    <xdr:to>
      <xdr:col>44</xdr:col>
      <xdr:colOff>219414</xdr:colOff>
      <xdr:row>22</xdr:row>
      <xdr:rowOff>943</xdr:rowOff>
    </xdr:to>
    <xdr:grpSp>
      <xdr:nvGrpSpPr>
        <xdr:cNvPr id="56" name="Group 55">
          <a:extLst>
            <a:ext uri="{FF2B5EF4-FFF2-40B4-BE49-F238E27FC236}">
              <a16:creationId xmlns:a16="http://schemas.microsoft.com/office/drawing/2014/main" id="{F64608F9-82B1-4E75-AB43-B78B87CC245E}"/>
            </a:ext>
          </a:extLst>
        </xdr:cNvPr>
        <xdr:cNvGrpSpPr/>
      </xdr:nvGrpSpPr>
      <xdr:grpSpPr>
        <a:xfrm>
          <a:off x="8784355" y="2867526"/>
          <a:ext cx="1074359" cy="1333942"/>
          <a:chOff x="-13801171" y="-3122153"/>
          <a:chExt cx="3124200" cy="2743200"/>
        </a:xfrm>
      </xdr:grpSpPr>
      <xdr:graphicFrame macro="">
        <xdr:nvGraphicFramePr>
          <xdr:cNvPr id="57" name="Chart 56">
            <a:extLst>
              <a:ext uri="{FF2B5EF4-FFF2-40B4-BE49-F238E27FC236}">
                <a16:creationId xmlns:a16="http://schemas.microsoft.com/office/drawing/2014/main" id="{8F6B48D2-1507-4F8C-EE92-F8695632C7E2}"/>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10"/>
          </a:graphicData>
        </a:graphic>
      </xdr:graphicFrame>
      <xdr:sp macro="" textlink="ScoringTables!N10">
        <xdr:nvSpPr>
          <xdr:cNvPr id="58" name="TextBox 57">
            <a:extLst>
              <a:ext uri="{FF2B5EF4-FFF2-40B4-BE49-F238E27FC236}">
                <a16:creationId xmlns:a16="http://schemas.microsoft.com/office/drawing/2014/main" id="{716457DA-C9FF-8F81-F7C7-BA9124A1DCDF}"/>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5B78D4B8-E2D8-4055-A4A4-839FB20566DC}"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45</xdr:col>
      <xdr:colOff>21352</xdr:colOff>
      <xdr:row>15</xdr:row>
      <xdr:rowOff>5016</xdr:rowOff>
    </xdr:from>
    <xdr:to>
      <xdr:col>49</xdr:col>
      <xdr:colOff>219413</xdr:colOff>
      <xdr:row>22</xdr:row>
      <xdr:rowOff>943</xdr:rowOff>
    </xdr:to>
    <xdr:grpSp>
      <xdr:nvGrpSpPr>
        <xdr:cNvPr id="59" name="Group 58">
          <a:extLst>
            <a:ext uri="{FF2B5EF4-FFF2-40B4-BE49-F238E27FC236}">
              <a16:creationId xmlns:a16="http://schemas.microsoft.com/office/drawing/2014/main" id="{F58CAA0D-0C9B-431B-843B-8E7E48A3E8D7}"/>
            </a:ext>
          </a:extLst>
        </xdr:cNvPr>
        <xdr:cNvGrpSpPr/>
      </xdr:nvGrpSpPr>
      <xdr:grpSpPr>
        <a:xfrm>
          <a:off x="9879727" y="2862516"/>
          <a:ext cx="1074361" cy="1338952"/>
          <a:chOff x="-15697579" y="-4304777"/>
          <a:chExt cx="3124200" cy="2743200"/>
        </a:xfrm>
      </xdr:grpSpPr>
      <xdr:graphicFrame macro="">
        <xdr:nvGraphicFramePr>
          <xdr:cNvPr id="60" name="Chart 59">
            <a:extLst>
              <a:ext uri="{FF2B5EF4-FFF2-40B4-BE49-F238E27FC236}">
                <a16:creationId xmlns:a16="http://schemas.microsoft.com/office/drawing/2014/main" id="{C9529D8F-BD55-1566-7A43-6F50A040A556}"/>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ScoringTables!N11">
        <xdr:nvSpPr>
          <xdr:cNvPr id="61" name="TextBox 60">
            <a:extLst>
              <a:ext uri="{FF2B5EF4-FFF2-40B4-BE49-F238E27FC236}">
                <a16:creationId xmlns:a16="http://schemas.microsoft.com/office/drawing/2014/main" id="{9CAA926E-3C41-4853-A5E8-13D3E583A88B}"/>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76AA2A1D-1022-4072-A018-07C82AAA483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50</xdr:col>
      <xdr:colOff>20052</xdr:colOff>
      <xdr:row>15</xdr:row>
      <xdr:rowOff>5013</xdr:rowOff>
    </xdr:from>
    <xdr:to>
      <xdr:col>54</xdr:col>
      <xdr:colOff>218112</xdr:colOff>
      <xdr:row>22</xdr:row>
      <xdr:rowOff>940</xdr:rowOff>
    </xdr:to>
    <xdr:grpSp>
      <xdr:nvGrpSpPr>
        <xdr:cNvPr id="62" name="Group 61">
          <a:extLst>
            <a:ext uri="{FF2B5EF4-FFF2-40B4-BE49-F238E27FC236}">
              <a16:creationId xmlns:a16="http://schemas.microsoft.com/office/drawing/2014/main" id="{77A78976-563E-4A2D-8B8A-EAB937C70529}"/>
            </a:ext>
          </a:extLst>
        </xdr:cNvPr>
        <xdr:cNvGrpSpPr/>
      </xdr:nvGrpSpPr>
      <xdr:grpSpPr>
        <a:xfrm>
          <a:off x="10973802" y="2862513"/>
          <a:ext cx="1074360" cy="1338952"/>
          <a:chOff x="-13801171" y="-3122153"/>
          <a:chExt cx="3124200" cy="2743200"/>
        </a:xfrm>
      </xdr:grpSpPr>
      <xdr:graphicFrame macro="">
        <xdr:nvGraphicFramePr>
          <xdr:cNvPr id="63" name="Chart 62">
            <a:extLst>
              <a:ext uri="{FF2B5EF4-FFF2-40B4-BE49-F238E27FC236}">
                <a16:creationId xmlns:a16="http://schemas.microsoft.com/office/drawing/2014/main" id="{2AE8733F-6836-DA5F-E2EC-E3B6D482AA29}"/>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12"/>
          </a:graphicData>
        </a:graphic>
      </xdr:graphicFrame>
      <xdr:sp macro="" textlink="ScoringTables!N12">
        <xdr:nvSpPr>
          <xdr:cNvPr id="64" name="TextBox 63">
            <a:extLst>
              <a:ext uri="{FF2B5EF4-FFF2-40B4-BE49-F238E27FC236}">
                <a16:creationId xmlns:a16="http://schemas.microsoft.com/office/drawing/2014/main" id="{F501F632-5C7E-533B-2F33-D07DD7363B4A}"/>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C76ADBE-9B01-4143-8040-81597B3497D7}"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55</xdr:col>
      <xdr:colOff>20050</xdr:colOff>
      <xdr:row>15</xdr:row>
      <xdr:rowOff>5013</xdr:rowOff>
    </xdr:from>
    <xdr:to>
      <xdr:col>59</xdr:col>
      <xdr:colOff>218111</xdr:colOff>
      <xdr:row>22</xdr:row>
      <xdr:rowOff>940</xdr:rowOff>
    </xdr:to>
    <xdr:grpSp>
      <xdr:nvGrpSpPr>
        <xdr:cNvPr id="65" name="Group 64">
          <a:extLst>
            <a:ext uri="{FF2B5EF4-FFF2-40B4-BE49-F238E27FC236}">
              <a16:creationId xmlns:a16="http://schemas.microsoft.com/office/drawing/2014/main" id="{203EDE50-B1F3-4624-9351-0A7D5CC8E22E}"/>
            </a:ext>
          </a:extLst>
        </xdr:cNvPr>
        <xdr:cNvGrpSpPr/>
      </xdr:nvGrpSpPr>
      <xdr:grpSpPr>
        <a:xfrm>
          <a:off x="12069175" y="2862513"/>
          <a:ext cx="1074361" cy="1338952"/>
          <a:chOff x="-15697579" y="-4304777"/>
          <a:chExt cx="3124200" cy="2743200"/>
        </a:xfrm>
      </xdr:grpSpPr>
      <xdr:graphicFrame macro="">
        <xdr:nvGraphicFramePr>
          <xdr:cNvPr id="66" name="Chart 65">
            <a:extLst>
              <a:ext uri="{FF2B5EF4-FFF2-40B4-BE49-F238E27FC236}">
                <a16:creationId xmlns:a16="http://schemas.microsoft.com/office/drawing/2014/main" id="{CB19C2BA-F6CD-8AB8-2553-ABE0CCE3F241}"/>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13"/>
          </a:graphicData>
        </a:graphic>
      </xdr:graphicFrame>
      <xdr:sp macro="" textlink="ScoringTables!N13">
        <xdr:nvSpPr>
          <xdr:cNvPr id="67" name="TextBox 66">
            <a:extLst>
              <a:ext uri="{FF2B5EF4-FFF2-40B4-BE49-F238E27FC236}">
                <a16:creationId xmlns:a16="http://schemas.microsoft.com/office/drawing/2014/main" id="{D4652901-9C5C-C0B9-BDC6-CD1A17977444}"/>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EAF17254-5E7F-4A6D-B375-AF33219AF37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35</xdr:col>
      <xdr:colOff>20052</xdr:colOff>
      <xdr:row>22</xdr:row>
      <xdr:rowOff>5013</xdr:rowOff>
    </xdr:from>
    <xdr:to>
      <xdr:col>39</xdr:col>
      <xdr:colOff>218113</xdr:colOff>
      <xdr:row>28</xdr:row>
      <xdr:rowOff>186430</xdr:rowOff>
    </xdr:to>
    <xdr:grpSp>
      <xdr:nvGrpSpPr>
        <xdr:cNvPr id="68" name="Group 67">
          <a:extLst>
            <a:ext uri="{FF2B5EF4-FFF2-40B4-BE49-F238E27FC236}">
              <a16:creationId xmlns:a16="http://schemas.microsoft.com/office/drawing/2014/main" id="{5282D95C-46B7-4A6B-B14A-FB620F7A064C}"/>
            </a:ext>
          </a:extLst>
        </xdr:cNvPr>
        <xdr:cNvGrpSpPr/>
      </xdr:nvGrpSpPr>
      <xdr:grpSpPr>
        <a:xfrm>
          <a:off x="7687677" y="4205538"/>
          <a:ext cx="1074361" cy="1324417"/>
          <a:chOff x="-13232249" y="-3109961"/>
          <a:chExt cx="3124200" cy="2743200"/>
        </a:xfrm>
      </xdr:grpSpPr>
      <xdr:graphicFrame macro="">
        <xdr:nvGraphicFramePr>
          <xdr:cNvPr id="69" name="Chart 68">
            <a:extLst>
              <a:ext uri="{FF2B5EF4-FFF2-40B4-BE49-F238E27FC236}">
                <a16:creationId xmlns:a16="http://schemas.microsoft.com/office/drawing/2014/main" id="{98FDBA14-EFA6-51D2-9DF9-43AF90C7E527}"/>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14"/>
          </a:graphicData>
        </a:graphic>
      </xdr:graphicFrame>
      <xdr:sp macro="" textlink="ScoringTables!N14">
        <xdr:nvSpPr>
          <xdr:cNvPr id="70" name="TextBox 69">
            <a:extLst>
              <a:ext uri="{FF2B5EF4-FFF2-40B4-BE49-F238E27FC236}">
                <a16:creationId xmlns:a16="http://schemas.microsoft.com/office/drawing/2014/main" id="{1F7943A1-E140-4148-1EAF-10B05FE41E33}"/>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C47D8C55-C053-4F54-B91A-ADBE4E6E5492}" type="TxLink">
              <a:rPr lang="en-US" sz="1100" b="1" i="0" u="none" strike="noStrike">
                <a:solidFill>
                  <a:srgbClr val="000000"/>
                </a:solidFill>
                <a:latin typeface="Calibri"/>
                <a:ea typeface="Calibri"/>
                <a:cs typeface="Calibri"/>
              </a:rPr>
              <a:pPr algn="ctr"/>
              <a:t>N/A</a:t>
            </a:fld>
            <a:endParaRPr lang="en-US" sz="1000" b="1">
              <a:latin typeface="+mn-lt"/>
            </a:endParaRPr>
          </a:p>
        </xdr:txBody>
      </xdr:sp>
    </xdr:grpSp>
    <xdr:clientData/>
  </xdr:twoCellAnchor>
  <xdr:twoCellAnchor>
    <xdr:from>
      <xdr:col>40</xdr:col>
      <xdr:colOff>21347</xdr:colOff>
      <xdr:row>22</xdr:row>
      <xdr:rowOff>10027</xdr:rowOff>
    </xdr:from>
    <xdr:to>
      <xdr:col>44</xdr:col>
      <xdr:colOff>219406</xdr:colOff>
      <xdr:row>28</xdr:row>
      <xdr:rowOff>186430</xdr:rowOff>
    </xdr:to>
    <xdr:grpSp>
      <xdr:nvGrpSpPr>
        <xdr:cNvPr id="71" name="Group 70">
          <a:extLst>
            <a:ext uri="{FF2B5EF4-FFF2-40B4-BE49-F238E27FC236}">
              <a16:creationId xmlns:a16="http://schemas.microsoft.com/office/drawing/2014/main" id="{77FA6FF5-D310-4A91-B8AC-39EB85E1B57F}"/>
            </a:ext>
          </a:extLst>
        </xdr:cNvPr>
        <xdr:cNvGrpSpPr/>
      </xdr:nvGrpSpPr>
      <xdr:grpSpPr>
        <a:xfrm>
          <a:off x="8784347" y="4210552"/>
          <a:ext cx="1074359" cy="1319403"/>
          <a:chOff x="-13801171" y="-3122153"/>
          <a:chExt cx="3124200" cy="2743200"/>
        </a:xfrm>
      </xdr:grpSpPr>
      <xdr:graphicFrame macro="">
        <xdr:nvGraphicFramePr>
          <xdr:cNvPr id="72" name="Chart 71">
            <a:extLst>
              <a:ext uri="{FF2B5EF4-FFF2-40B4-BE49-F238E27FC236}">
                <a16:creationId xmlns:a16="http://schemas.microsoft.com/office/drawing/2014/main" id="{B7479CBF-9A74-FA1D-65B9-94056CB02A0E}"/>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15"/>
          </a:graphicData>
        </a:graphic>
      </xdr:graphicFrame>
      <xdr:sp macro="" textlink="ScoringTables!N15">
        <xdr:nvSpPr>
          <xdr:cNvPr id="73" name="TextBox 72">
            <a:extLst>
              <a:ext uri="{FF2B5EF4-FFF2-40B4-BE49-F238E27FC236}">
                <a16:creationId xmlns:a16="http://schemas.microsoft.com/office/drawing/2014/main" id="{6CBFD93C-21F6-4B30-8558-F03B3C7691EB}"/>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B81AF76A-A63A-44AD-8B45-5490AE245D6F}"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45</xdr:col>
      <xdr:colOff>21344</xdr:colOff>
      <xdr:row>22</xdr:row>
      <xdr:rowOff>10027</xdr:rowOff>
    </xdr:from>
    <xdr:to>
      <xdr:col>49</xdr:col>
      <xdr:colOff>219405</xdr:colOff>
      <xdr:row>28</xdr:row>
      <xdr:rowOff>186430</xdr:rowOff>
    </xdr:to>
    <xdr:grpSp>
      <xdr:nvGrpSpPr>
        <xdr:cNvPr id="74" name="Group 73">
          <a:extLst>
            <a:ext uri="{FF2B5EF4-FFF2-40B4-BE49-F238E27FC236}">
              <a16:creationId xmlns:a16="http://schemas.microsoft.com/office/drawing/2014/main" id="{F2F2D987-B645-4936-850D-6788615F0EC8}"/>
            </a:ext>
          </a:extLst>
        </xdr:cNvPr>
        <xdr:cNvGrpSpPr/>
      </xdr:nvGrpSpPr>
      <xdr:grpSpPr>
        <a:xfrm>
          <a:off x="9879719" y="4210552"/>
          <a:ext cx="1074361" cy="1319403"/>
          <a:chOff x="-15697579" y="-4304777"/>
          <a:chExt cx="3124200" cy="2743200"/>
        </a:xfrm>
      </xdr:grpSpPr>
      <xdr:graphicFrame macro="">
        <xdr:nvGraphicFramePr>
          <xdr:cNvPr id="75" name="Chart 74">
            <a:extLst>
              <a:ext uri="{FF2B5EF4-FFF2-40B4-BE49-F238E27FC236}">
                <a16:creationId xmlns:a16="http://schemas.microsoft.com/office/drawing/2014/main" id="{3A6B43A7-CEAA-290B-8D94-3F01D79F40EA}"/>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16"/>
          </a:graphicData>
        </a:graphic>
      </xdr:graphicFrame>
      <xdr:sp macro="" textlink="ScoringTables!N16">
        <xdr:nvSpPr>
          <xdr:cNvPr id="76" name="TextBox 75">
            <a:extLst>
              <a:ext uri="{FF2B5EF4-FFF2-40B4-BE49-F238E27FC236}">
                <a16:creationId xmlns:a16="http://schemas.microsoft.com/office/drawing/2014/main" id="{28B68218-CCAF-2BCE-05E9-C73E9ECDF463}"/>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861150C0-B4A7-446D-B92B-B97D3497417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50</xdr:col>
      <xdr:colOff>20044</xdr:colOff>
      <xdr:row>22</xdr:row>
      <xdr:rowOff>5013</xdr:rowOff>
    </xdr:from>
    <xdr:to>
      <xdr:col>54</xdr:col>
      <xdr:colOff>218104</xdr:colOff>
      <xdr:row>28</xdr:row>
      <xdr:rowOff>186427</xdr:rowOff>
    </xdr:to>
    <xdr:grpSp>
      <xdr:nvGrpSpPr>
        <xdr:cNvPr id="77" name="Group 76">
          <a:extLst>
            <a:ext uri="{FF2B5EF4-FFF2-40B4-BE49-F238E27FC236}">
              <a16:creationId xmlns:a16="http://schemas.microsoft.com/office/drawing/2014/main" id="{ED33AD16-AE2F-41BF-A9AD-22178DB1AE7C}"/>
            </a:ext>
          </a:extLst>
        </xdr:cNvPr>
        <xdr:cNvGrpSpPr/>
      </xdr:nvGrpSpPr>
      <xdr:grpSpPr>
        <a:xfrm>
          <a:off x="10973794" y="4205538"/>
          <a:ext cx="1074360" cy="1324414"/>
          <a:chOff x="-13801171" y="-3122153"/>
          <a:chExt cx="3124200" cy="2743200"/>
        </a:xfrm>
      </xdr:grpSpPr>
      <xdr:graphicFrame macro="">
        <xdr:nvGraphicFramePr>
          <xdr:cNvPr id="78" name="Chart 77">
            <a:extLst>
              <a:ext uri="{FF2B5EF4-FFF2-40B4-BE49-F238E27FC236}">
                <a16:creationId xmlns:a16="http://schemas.microsoft.com/office/drawing/2014/main" id="{E7E114CE-7DCE-8704-AFAE-B792D3D79D77}"/>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17"/>
          </a:graphicData>
        </a:graphic>
      </xdr:graphicFrame>
      <xdr:sp macro="" textlink="ScoringTables!N17">
        <xdr:nvSpPr>
          <xdr:cNvPr id="79" name="TextBox 78">
            <a:extLst>
              <a:ext uri="{FF2B5EF4-FFF2-40B4-BE49-F238E27FC236}">
                <a16:creationId xmlns:a16="http://schemas.microsoft.com/office/drawing/2014/main" id="{41E24606-671F-D02B-CA03-04964E6B3212}"/>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B739338A-1AB8-40DA-9058-BB1ABE457478}"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55</xdr:col>
      <xdr:colOff>20042</xdr:colOff>
      <xdr:row>22</xdr:row>
      <xdr:rowOff>15040</xdr:rowOff>
    </xdr:from>
    <xdr:to>
      <xdr:col>59</xdr:col>
      <xdr:colOff>218103</xdr:colOff>
      <xdr:row>28</xdr:row>
      <xdr:rowOff>186427</xdr:rowOff>
    </xdr:to>
    <xdr:grpSp>
      <xdr:nvGrpSpPr>
        <xdr:cNvPr id="80" name="Group 79">
          <a:extLst>
            <a:ext uri="{FF2B5EF4-FFF2-40B4-BE49-F238E27FC236}">
              <a16:creationId xmlns:a16="http://schemas.microsoft.com/office/drawing/2014/main" id="{0F1301E9-CC53-4A21-817F-66C93FD5A9C7}"/>
            </a:ext>
          </a:extLst>
        </xdr:cNvPr>
        <xdr:cNvGrpSpPr/>
      </xdr:nvGrpSpPr>
      <xdr:grpSpPr>
        <a:xfrm>
          <a:off x="12069167" y="4215565"/>
          <a:ext cx="1074361" cy="1314387"/>
          <a:chOff x="-15697579" y="-4304777"/>
          <a:chExt cx="3124200" cy="2743200"/>
        </a:xfrm>
      </xdr:grpSpPr>
      <xdr:graphicFrame macro="">
        <xdr:nvGraphicFramePr>
          <xdr:cNvPr id="81" name="Chart 80">
            <a:extLst>
              <a:ext uri="{FF2B5EF4-FFF2-40B4-BE49-F238E27FC236}">
                <a16:creationId xmlns:a16="http://schemas.microsoft.com/office/drawing/2014/main" id="{E5DF0642-C087-2E00-51AE-F964693578DE}"/>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18"/>
          </a:graphicData>
        </a:graphic>
      </xdr:graphicFrame>
      <xdr:sp macro="" textlink="ScoringTables!N18">
        <xdr:nvSpPr>
          <xdr:cNvPr id="82" name="TextBox 81">
            <a:extLst>
              <a:ext uri="{FF2B5EF4-FFF2-40B4-BE49-F238E27FC236}">
                <a16:creationId xmlns:a16="http://schemas.microsoft.com/office/drawing/2014/main" id="{CBB0ECDF-AA62-05C4-34BF-0CB6C721C498}"/>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D74E8CD-A3A9-4EE7-A9A2-CCA04A225C04}" type="TxLink">
              <a:rPr lang="en-US" sz="1100" b="1" i="0" u="none" strike="noStrike">
                <a:solidFill>
                  <a:srgbClr val="000000"/>
                </a:solidFill>
                <a:latin typeface="Calibri"/>
                <a:ea typeface="Calibri"/>
                <a:cs typeface="Calibri"/>
              </a:rPr>
              <a:pPr algn="ctr"/>
              <a:t>N/A</a:t>
            </a:fld>
            <a:endParaRPr lang="en-US" sz="1000" b="1">
              <a:latin typeface="+mn-lt"/>
            </a:endParaRPr>
          </a:p>
        </xdr:txBody>
      </xdr:sp>
    </xdr:grpSp>
    <xdr:clientData/>
  </xdr:twoCellAnchor>
  <xdr:twoCellAnchor>
    <xdr:from>
      <xdr:col>35</xdr:col>
      <xdr:colOff>20052</xdr:colOff>
      <xdr:row>29</xdr:row>
      <xdr:rowOff>10027</xdr:rowOff>
    </xdr:from>
    <xdr:to>
      <xdr:col>39</xdr:col>
      <xdr:colOff>218113</xdr:colOff>
      <xdr:row>35</xdr:row>
      <xdr:rowOff>181417</xdr:rowOff>
    </xdr:to>
    <xdr:grpSp>
      <xdr:nvGrpSpPr>
        <xdr:cNvPr id="83" name="Group 82">
          <a:extLst>
            <a:ext uri="{FF2B5EF4-FFF2-40B4-BE49-F238E27FC236}">
              <a16:creationId xmlns:a16="http://schemas.microsoft.com/office/drawing/2014/main" id="{13BBDC17-7E56-40D6-ADB4-17687AC83ABF}"/>
            </a:ext>
          </a:extLst>
        </xdr:cNvPr>
        <xdr:cNvGrpSpPr/>
      </xdr:nvGrpSpPr>
      <xdr:grpSpPr>
        <a:xfrm>
          <a:off x="7687677" y="5544052"/>
          <a:ext cx="1074361" cy="1314390"/>
          <a:chOff x="-13232249" y="-3109961"/>
          <a:chExt cx="3124200" cy="2743200"/>
        </a:xfrm>
      </xdr:grpSpPr>
      <xdr:graphicFrame macro="">
        <xdr:nvGraphicFramePr>
          <xdr:cNvPr id="84" name="Chart 83">
            <a:extLst>
              <a:ext uri="{FF2B5EF4-FFF2-40B4-BE49-F238E27FC236}">
                <a16:creationId xmlns:a16="http://schemas.microsoft.com/office/drawing/2014/main" id="{952E5349-08CA-066B-DE93-900CD191BB08}"/>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19"/>
          </a:graphicData>
        </a:graphic>
      </xdr:graphicFrame>
      <xdr:sp macro="" textlink="ScoringTables!N19">
        <xdr:nvSpPr>
          <xdr:cNvPr id="85" name="TextBox 84">
            <a:extLst>
              <a:ext uri="{FF2B5EF4-FFF2-40B4-BE49-F238E27FC236}">
                <a16:creationId xmlns:a16="http://schemas.microsoft.com/office/drawing/2014/main" id="{5726CFAE-4C2C-B998-9A76-8BD554EC4E20}"/>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D70D4870-3072-487C-A956-A7C1FFD06333}"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40</xdr:col>
      <xdr:colOff>21347</xdr:colOff>
      <xdr:row>29</xdr:row>
      <xdr:rowOff>5014</xdr:rowOff>
    </xdr:from>
    <xdr:to>
      <xdr:col>44</xdr:col>
      <xdr:colOff>219406</xdr:colOff>
      <xdr:row>35</xdr:row>
      <xdr:rowOff>181417</xdr:rowOff>
    </xdr:to>
    <xdr:grpSp>
      <xdr:nvGrpSpPr>
        <xdr:cNvPr id="3" name="Group 85">
          <a:extLst>
            <a:ext uri="{FF2B5EF4-FFF2-40B4-BE49-F238E27FC236}">
              <a16:creationId xmlns:a16="http://schemas.microsoft.com/office/drawing/2014/main" id="{2C9992F1-16FB-4A41-B90E-9715060295CD}"/>
            </a:ext>
          </a:extLst>
        </xdr:cNvPr>
        <xdr:cNvGrpSpPr/>
      </xdr:nvGrpSpPr>
      <xdr:grpSpPr>
        <a:xfrm>
          <a:off x="8784347" y="5539039"/>
          <a:ext cx="1074359" cy="1319403"/>
          <a:chOff x="-13801171" y="-3122153"/>
          <a:chExt cx="3124200" cy="2743200"/>
        </a:xfrm>
      </xdr:grpSpPr>
      <xdr:graphicFrame macro="">
        <xdr:nvGraphicFramePr>
          <xdr:cNvPr id="7" name="Chart 86">
            <a:extLst>
              <a:ext uri="{FF2B5EF4-FFF2-40B4-BE49-F238E27FC236}">
                <a16:creationId xmlns:a16="http://schemas.microsoft.com/office/drawing/2014/main" id="{85068DE9-15C7-2B95-5EFF-207D3A0AE383}"/>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20"/>
          </a:graphicData>
        </a:graphic>
      </xdr:graphicFrame>
      <xdr:sp macro="" textlink="ScoringTables!N20">
        <xdr:nvSpPr>
          <xdr:cNvPr id="8" name="TextBox 87">
            <a:extLst>
              <a:ext uri="{FF2B5EF4-FFF2-40B4-BE49-F238E27FC236}">
                <a16:creationId xmlns:a16="http://schemas.microsoft.com/office/drawing/2014/main" id="{EE6C93BB-4FE2-DDFE-40FD-690F81321854}"/>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52915BC4-0199-4A62-A86E-811B54929C0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46</xdr:col>
      <xdr:colOff>107158</xdr:colOff>
      <xdr:row>30</xdr:row>
      <xdr:rowOff>24308</xdr:rowOff>
    </xdr:from>
    <xdr:to>
      <xdr:col>49</xdr:col>
      <xdr:colOff>94817</xdr:colOff>
      <xdr:row>30</xdr:row>
      <xdr:rowOff>164676</xdr:rowOff>
    </xdr:to>
    <xdr:sp macro="" textlink="">
      <xdr:nvSpPr>
        <xdr:cNvPr id="89" name="Rectangle 88">
          <a:extLst>
            <a:ext uri="{FF2B5EF4-FFF2-40B4-BE49-F238E27FC236}">
              <a16:creationId xmlns:a16="http://schemas.microsoft.com/office/drawing/2014/main" id="{76BD2ED9-F536-173E-5757-50C47D3E3558}"/>
            </a:ext>
          </a:extLst>
        </xdr:cNvPr>
        <xdr:cNvSpPr/>
      </xdr:nvSpPr>
      <xdr:spPr>
        <a:xfrm>
          <a:off x="9428520" y="5745877"/>
          <a:ext cx="637987" cy="140368"/>
        </a:xfrm>
        <a:prstGeom prst="rect">
          <a:avLst/>
        </a:prstGeom>
        <a:solidFill>
          <a:srgbClr val="92D05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105273</xdr:colOff>
      <xdr:row>31</xdr:row>
      <xdr:rowOff>21608</xdr:rowOff>
    </xdr:from>
    <xdr:to>
      <xdr:col>49</xdr:col>
      <xdr:colOff>92932</xdr:colOff>
      <xdr:row>31</xdr:row>
      <xdr:rowOff>161976</xdr:rowOff>
    </xdr:to>
    <xdr:sp macro="" textlink="">
      <xdr:nvSpPr>
        <xdr:cNvPr id="90" name="Rectangle 89">
          <a:extLst>
            <a:ext uri="{FF2B5EF4-FFF2-40B4-BE49-F238E27FC236}">
              <a16:creationId xmlns:a16="http://schemas.microsoft.com/office/drawing/2014/main" id="{0DD98F97-7ED1-4B32-B951-8A7A99A4AF8F}"/>
            </a:ext>
          </a:extLst>
        </xdr:cNvPr>
        <xdr:cNvSpPr/>
      </xdr:nvSpPr>
      <xdr:spPr>
        <a:xfrm>
          <a:off x="9426635" y="5933677"/>
          <a:ext cx="637987" cy="140368"/>
        </a:xfrm>
        <a:prstGeom prst="rect">
          <a:avLst/>
        </a:prstGeom>
        <a:solidFill>
          <a:srgbClr val="FFFF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105273</xdr:colOff>
      <xdr:row>32</xdr:row>
      <xdr:rowOff>21608</xdr:rowOff>
    </xdr:from>
    <xdr:to>
      <xdr:col>49</xdr:col>
      <xdr:colOff>92932</xdr:colOff>
      <xdr:row>32</xdr:row>
      <xdr:rowOff>161976</xdr:rowOff>
    </xdr:to>
    <xdr:sp macro="" textlink="">
      <xdr:nvSpPr>
        <xdr:cNvPr id="91" name="Rectangle 90">
          <a:extLst>
            <a:ext uri="{FF2B5EF4-FFF2-40B4-BE49-F238E27FC236}">
              <a16:creationId xmlns:a16="http://schemas.microsoft.com/office/drawing/2014/main" id="{0C4FD1C4-5464-421A-BFF9-0821B72D1678}"/>
            </a:ext>
          </a:extLst>
        </xdr:cNvPr>
        <xdr:cNvSpPr/>
      </xdr:nvSpPr>
      <xdr:spPr>
        <a:xfrm>
          <a:off x="9426635" y="6124177"/>
          <a:ext cx="637987" cy="140368"/>
        </a:xfrm>
        <a:prstGeom prst="rect">
          <a:avLst/>
        </a:prstGeom>
        <a:solidFill>
          <a:srgbClr val="FF64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105273</xdr:colOff>
      <xdr:row>33</xdr:row>
      <xdr:rowOff>21608</xdr:rowOff>
    </xdr:from>
    <xdr:to>
      <xdr:col>49</xdr:col>
      <xdr:colOff>92932</xdr:colOff>
      <xdr:row>33</xdr:row>
      <xdr:rowOff>161976</xdr:rowOff>
    </xdr:to>
    <xdr:sp macro="" textlink="">
      <xdr:nvSpPr>
        <xdr:cNvPr id="92" name="Rectangle 91">
          <a:extLst>
            <a:ext uri="{FF2B5EF4-FFF2-40B4-BE49-F238E27FC236}">
              <a16:creationId xmlns:a16="http://schemas.microsoft.com/office/drawing/2014/main" id="{85529800-01B4-47F8-ABD8-B638595DAF63}"/>
            </a:ext>
          </a:extLst>
        </xdr:cNvPr>
        <xdr:cNvSpPr/>
      </xdr:nvSpPr>
      <xdr:spPr>
        <a:xfrm>
          <a:off x="9426635" y="6314677"/>
          <a:ext cx="637987" cy="140368"/>
        </a:xfrm>
        <a:prstGeom prst="rect">
          <a:avLst/>
        </a:prstGeom>
        <a:solidFill>
          <a:srgbClr val="FF00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46</xdr:col>
      <xdr:colOff>105273</xdr:colOff>
      <xdr:row>34</xdr:row>
      <xdr:rowOff>21608</xdr:rowOff>
    </xdr:from>
    <xdr:to>
      <xdr:col>49</xdr:col>
      <xdr:colOff>92932</xdr:colOff>
      <xdr:row>34</xdr:row>
      <xdr:rowOff>161976</xdr:rowOff>
    </xdr:to>
    <xdr:sp macro="" textlink="">
      <xdr:nvSpPr>
        <xdr:cNvPr id="93" name="Rectangle 92">
          <a:extLst>
            <a:ext uri="{FF2B5EF4-FFF2-40B4-BE49-F238E27FC236}">
              <a16:creationId xmlns:a16="http://schemas.microsoft.com/office/drawing/2014/main" id="{C2AE2396-1B19-4551-A08A-5091595842CC}"/>
            </a:ext>
          </a:extLst>
        </xdr:cNvPr>
        <xdr:cNvSpPr/>
      </xdr:nvSpPr>
      <xdr:spPr>
        <a:xfrm>
          <a:off x="9426635" y="6505177"/>
          <a:ext cx="637987" cy="140368"/>
        </a:xfrm>
        <a:prstGeom prst="rect">
          <a:avLst/>
        </a:prstGeom>
        <a:solidFill>
          <a:schemeClr val="bg1">
            <a:lumMod val="75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4330</xdr:colOff>
      <xdr:row>1</xdr:row>
      <xdr:rowOff>4330</xdr:rowOff>
    </xdr:from>
    <xdr:to>
      <xdr:col>76</xdr:col>
      <xdr:colOff>0</xdr:colOff>
      <xdr:row>16</xdr:row>
      <xdr:rowOff>0</xdr:rowOff>
    </xdr:to>
    <xdr:grpSp>
      <xdr:nvGrpSpPr>
        <xdr:cNvPr id="94" name="Group 93">
          <a:extLst>
            <a:ext uri="{FF2B5EF4-FFF2-40B4-BE49-F238E27FC236}">
              <a16:creationId xmlns:a16="http://schemas.microsoft.com/office/drawing/2014/main" id="{ED2F0F6D-844B-4494-95BE-09FB07B935BE}"/>
            </a:ext>
          </a:extLst>
        </xdr:cNvPr>
        <xdr:cNvGrpSpPr/>
      </xdr:nvGrpSpPr>
      <xdr:grpSpPr>
        <a:xfrm>
          <a:off x="14244205" y="194830"/>
          <a:ext cx="2405495" cy="2853170"/>
          <a:chOff x="416329" y="-537463"/>
          <a:chExt cx="3124200" cy="2743200"/>
        </a:xfrm>
      </xdr:grpSpPr>
      <xdr:graphicFrame macro="">
        <xdr:nvGraphicFramePr>
          <xdr:cNvPr id="95" name="Chart 94">
            <a:extLst>
              <a:ext uri="{FF2B5EF4-FFF2-40B4-BE49-F238E27FC236}">
                <a16:creationId xmlns:a16="http://schemas.microsoft.com/office/drawing/2014/main" id="{C8A49337-83ED-0A4E-CB6F-784160D088B5}"/>
              </a:ext>
            </a:extLst>
          </xdr:cNvPr>
          <xdr:cNvGraphicFramePr>
            <a:graphicFrameLocks/>
          </xdr:cNvGraphicFramePr>
        </xdr:nvGraphicFramePr>
        <xdr:xfrm>
          <a:off x="416329" y="-537463"/>
          <a:ext cx="3124200" cy="2743200"/>
        </xdr:xfrm>
        <a:graphic>
          <a:graphicData uri="http://schemas.openxmlformats.org/drawingml/2006/chart">
            <c:chart xmlns:c="http://schemas.openxmlformats.org/drawingml/2006/chart" xmlns:r="http://schemas.openxmlformats.org/officeDocument/2006/relationships" r:id="rId21"/>
          </a:graphicData>
        </a:graphic>
      </xdr:graphicFrame>
      <xdr:sp macro="" textlink="ScoringTables!N22">
        <xdr:nvSpPr>
          <xdr:cNvPr id="96" name="TextBox 95">
            <a:extLst>
              <a:ext uri="{FF2B5EF4-FFF2-40B4-BE49-F238E27FC236}">
                <a16:creationId xmlns:a16="http://schemas.microsoft.com/office/drawing/2014/main" id="{7B289861-8960-61D7-A260-9208BE4AA2A0}"/>
              </a:ext>
            </a:extLst>
          </xdr:cNvPr>
          <xdr:cNvSpPr txBox="1"/>
        </xdr:nvSpPr>
        <xdr:spPr>
          <a:xfrm>
            <a:off x="1241787" y="714254"/>
            <a:ext cx="1465337" cy="5333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5F3D540-9340-4393-A2AB-CE6A0994BCDD}" type="TxLink">
              <a:rPr lang="en-US" sz="2000" b="1" i="0" u="none" strike="noStrike">
                <a:solidFill>
                  <a:srgbClr val="000000"/>
                </a:solidFill>
                <a:latin typeface="Calibri"/>
                <a:ea typeface="Calibri"/>
                <a:cs typeface="Calibri"/>
              </a:rPr>
              <a:pPr algn="ctr"/>
              <a:t>0.00%</a:t>
            </a:fld>
            <a:endParaRPr lang="en-US" sz="2000" b="1">
              <a:latin typeface="+mn-lt"/>
            </a:endParaRPr>
          </a:p>
        </xdr:txBody>
      </xdr:sp>
    </xdr:grpSp>
    <xdr:clientData/>
  </xdr:twoCellAnchor>
  <xdr:twoCellAnchor>
    <xdr:from>
      <xdr:col>76</xdr:col>
      <xdr:colOff>15603</xdr:colOff>
      <xdr:row>1</xdr:row>
      <xdr:rowOff>7773</xdr:rowOff>
    </xdr:from>
    <xdr:to>
      <xdr:col>80</xdr:col>
      <xdr:colOff>213351</xdr:colOff>
      <xdr:row>8</xdr:row>
      <xdr:rowOff>183033</xdr:rowOff>
    </xdr:to>
    <xdr:grpSp>
      <xdr:nvGrpSpPr>
        <xdr:cNvPr id="97" name="Group 96">
          <a:extLst>
            <a:ext uri="{FF2B5EF4-FFF2-40B4-BE49-F238E27FC236}">
              <a16:creationId xmlns:a16="http://schemas.microsoft.com/office/drawing/2014/main" id="{3DEA75C5-1423-4EBC-9C0E-F9118380E444}"/>
            </a:ext>
          </a:extLst>
        </xdr:cNvPr>
        <xdr:cNvGrpSpPr/>
      </xdr:nvGrpSpPr>
      <xdr:grpSpPr>
        <a:xfrm>
          <a:off x="16665303" y="198273"/>
          <a:ext cx="1074048" cy="1508760"/>
          <a:chOff x="-13232249" y="-3109961"/>
          <a:chExt cx="3124200" cy="2743200"/>
        </a:xfrm>
      </xdr:grpSpPr>
      <xdr:graphicFrame macro="">
        <xdr:nvGraphicFramePr>
          <xdr:cNvPr id="98" name="Chart 97">
            <a:extLst>
              <a:ext uri="{FF2B5EF4-FFF2-40B4-BE49-F238E27FC236}">
                <a16:creationId xmlns:a16="http://schemas.microsoft.com/office/drawing/2014/main" id="{0220444F-E058-E069-4521-53657BC64366}"/>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22"/>
          </a:graphicData>
        </a:graphic>
      </xdr:graphicFrame>
      <xdr:sp macro="" textlink="ScoringTables!N3">
        <xdr:nvSpPr>
          <xdr:cNvPr id="99" name="TextBox 98">
            <a:extLst>
              <a:ext uri="{FF2B5EF4-FFF2-40B4-BE49-F238E27FC236}">
                <a16:creationId xmlns:a16="http://schemas.microsoft.com/office/drawing/2014/main" id="{8DF82611-D857-9230-E295-2949F8C4FD0C}"/>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A5440E1-38B5-4871-A50D-0FE222E1269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81</xdr:col>
      <xdr:colOff>23468</xdr:colOff>
      <xdr:row>1</xdr:row>
      <xdr:rowOff>7774</xdr:rowOff>
    </xdr:from>
    <xdr:to>
      <xdr:col>86</xdr:col>
      <xdr:colOff>948</xdr:colOff>
      <xdr:row>8</xdr:row>
      <xdr:rowOff>183034</xdr:rowOff>
    </xdr:to>
    <xdr:grpSp>
      <xdr:nvGrpSpPr>
        <xdr:cNvPr id="100" name="Group 99">
          <a:extLst>
            <a:ext uri="{FF2B5EF4-FFF2-40B4-BE49-F238E27FC236}">
              <a16:creationId xmlns:a16="http://schemas.microsoft.com/office/drawing/2014/main" id="{F73EE651-235D-4E1D-81CC-25B28A4BEC6E}"/>
            </a:ext>
          </a:extLst>
        </xdr:cNvPr>
        <xdr:cNvGrpSpPr/>
      </xdr:nvGrpSpPr>
      <xdr:grpSpPr>
        <a:xfrm>
          <a:off x="17768543" y="198274"/>
          <a:ext cx="1072855" cy="1508760"/>
          <a:chOff x="-13801171" y="-3122153"/>
          <a:chExt cx="3124200" cy="2743200"/>
        </a:xfrm>
      </xdr:grpSpPr>
      <xdr:graphicFrame macro="">
        <xdr:nvGraphicFramePr>
          <xdr:cNvPr id="101" name="Chart 100">
            <a:extLst>
              <a:ext uri="{FF2B5EF4-FFF2-40B4-BE49-F238E27FC236}">
                <a16:creationId xmlns:a16="http://schemas.microsoft.com/office/drawing/2014/main" id="{245C3515-85A7-86A2-5B73-AECC2AA7FFAE}"/>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23"/>
          </a:graphicData>
        </a:graphic>
      </xdr:graphicFrame>
      <xdr:sp macro="" textlink="ScoringTables!N4">
        <xdr:nvSpPr>
          <xdr:cNvPr id="102" name="TextBox 101">
            <a:extLst>
              <a:ext uri="{FF2B5EF4-FFF2-40B4-BE49-F238E27FC236}">
                <a16:creationId xmlns:a16="http://schemas.microsoft.com/office/drawing/2014/main" id="{F80DE124-2578-B3D6-7F84-9BCBC7A26661}"/>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3C579DD1-3EF5-4E62-BE05-142CCC394343}"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86</xdr:col>
      <xdr:colOff>23465</xdr:colOff>
      <xdr:row>1</xdr:row>
      <xdr:rowOff>7773</xdr:rowOff>
    </xdr:from>
    <xdr:to>
      <xdr:col>91</xdr:col>
      <xdr:colOff>947</xdr:colOff>
      <xdr:row>8</xdr:row>
      <xdr:rowOff>183033</xdr:rowOff>
    </xdr:to>
    <xdr:grpSp>
      <xdr:nvGrpSpPr>
        <xdr:cNvPr id="103" name="Group 102">
          <a:extLst>
            <a:ext uri="{FF2B5EF4-FFF2-40B4-BE49-F238E27FC236}">
              <a16:creationId xmlns:a16="http://schemas.microsoft.com/office/drawing/2014/main" id="{0252319D-BAA2-46CA-87CA-8C83F73B5C77}"/>
            </a:ext>
          </a:extLst>
        </xdr:cNvPr>
        <xdr:cNvGrpSpPr/>
      </xdr:nvGrpSpPr>
      <xdr:grpSpPr>
        <a:xfrm>
          <a:off x="18863915" y="198273"/>
          <a:ext cx="1072857" cy="1508760"/>
          <a:chOff x="-15697579" y="-4304777"/>
          <a:chExt cx="3124200" cy="2743200"/>
        </a:xfrm>
      </xdr:grpSpPr>
      <xdr:graphicFrame macro="">
        <xdr:nvGraphicFramePr>
          <xdr:cNvPr id="104" name="Chart 103">
            <a:extLst>
              <a:ext uri="{FF2B5EF4-FFF2-40B4-BE49-F238E27FC236}">
                <a16:creationId xmlns:a16="http://schemas.microsoft.com/office/drawing/2014/main" id="{08B01CD4-6421-06FD-02FD-5DF5120D9D45}"/>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24"/>
          </a:graphicData>
        </a:graphic>
      </xdr:graphicFrame>
      <xdr:sp macro="" textlink="ScoringTables!N5">
        <xdr:nvSpPr>
          <xdr:cNvPr id="105" name="TextBox 104">
            <a:extLst>
              <a:ext uri="{FF2B5EF4-FFF2-40B4-BE49-F238E27FC236}">
                <a16:creationId xmlns:a16="http://schemas.microsoft.com/office/drawing/2014/main" id="{83977974-1AB8-64DC-26F0-E9E6E4F6BA63}"/>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A12D2018-DE72-4532-9FA7-FCAB8B3EC5BF}"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96</xdr:col>
      <xdr:colOff>6628</xdr:colOff>
      <xdr:row>1</xdr:row>
      <xdr:rowOff>12860</xdr:rowOff>
    </xdr:from>
    <xdr:to>
      <xdr:col>100</xdr:col>
      <xdr:colOff>204687</xdr:colOff>
      <xdr:row>8</xdr:row>
      <xdr:rowOff>188120</xdr:rowOff>
    </xdr:to>
    <xdr:grpSp>
      <xdr:nvGrpSpPr>
        <xdr:cNvPr id="109" name="Group 108">
          <a:extLst>
            <a:ext uri="{FF2B5EF4-FFF2-40B4-BE49-F238E27FC236}">
              <a16:creationId xmlns:a16="http://schemas.microsoft.com/office/drawing/2014/main" id="{5134336F-12E8-4E4F-A108-616AD4C8DB99}"/>
            </a:ext>
          </a:extLst>
        </xdr:cNvPr>
        <xdr:cNvGrpSpPr/>
      </xdr:nvGrpSpPr>
      <xdr:grpSpPr>
        <a:xfrm>
          <a:off x="21037828" y="203360"/>
          <a:ext cx="1074359" cy="1508760"/>
          <a:chOff x="-13801171" y="-3122153"/>
          <a:chExt cx="3124200" cy="2743200"/>
        </a:xfrm>
      </xdr:grpSpPr>
      <xdr:graphicFrame macro="">
        <xdr:nvGraphicFramePr>
          <xdr:cNvPr id="110" name="Chart 109">
            <a:extLst>
              <a:ext uri="{FF2B5EF4-FFF2-40B4-BE49-F238E27FC236}">
                <a16:creationId xmlns:a16="http://schemas.microsoft.com/office/drawing/2014/main" id="{43E859FD-11DD-E44F-0647-DA91F40A8D5A}"/>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25"/>
          </a:graphicData>
        </a:graphic>
      </xdr:graphicFrame>
      <xdr:sp macro="" textlink="ScoringTables!N7">
        <xdr:nvSpPr>
          <xdr:cNvPr id="111" name="TextBox 110">
            <a:extLst>
              <a:ext uri="{FF2B5EF4-FFF2-40B4-BE49-F238E27FC236}">
                <a16:creationId xmlns:a16="http://schemas.microsoft.com/office/drawing/2014/main" id="{B21CDF8C-7951-8054-C867-C9F6C63C6A8F}"/>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7B8785C2-3A07-40A8-A2B0-9063DBDBA16C}"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101</xdr:col>
      <xdr:colOff>18833</xdr:colOff>
      <xdr:row>1</xdr:row>
      <xdr:rowOff>13291</xdr:rowOff>
    </xdr:from>
    <xdr:to>
      <xdr:col>106</xdr:col>
      <xdr:colOff>118</xdr:colOff>
      <xdr:row>8</xdr:row>
      <xdr:rowOff>188551</xdr:rowOff>
    </xdr:to>
    <xdr:grpSp>
      <xdr:nvGrpSpPr>
        <xdr:cNvPr id="112" name="Group 111">
          <a:extLst>
            <a:ext uri="{FF2B5EF4-FFF2-40B4-BE49-F238E27FC236}">
              <a16:creationId xmlns:a16="http://schemas.microsoft.com/office/drawing/2014/main" id="{E7B680D1-19A3-4A3B-966D-8771D89977AE}"/>
            </a:ext>
          </a:extLst>
        </xdr:cNvPr>
        <xdr:cNvGrpSpPr/>
      </xdr:nvGrpSpPr>
      <xdr:grpSpPr>
        <a:xfrm>
          <a:off x="22145408" y="203791"/>
          <a:ext cx="1076660" cy="1508760"/>
          <a:chOff x="-15697579" y="-4304777"/>
          <a:chExt cx="3124200" cy="2743200"/>
        </a:xfrm>
      </xdr:grpSpPr>
      <xdr:graphicFrame macro="">
        <xdr:nvGraphicFramePr>
          <xdr:cNvPr id="113" name="Chart 112">
            <a:extLst>
              <a:ext uri="{FF2B5EF4-FFF2-40B4-BE49-F238E27FC236}">
                <a16:creationId xmlns:a16="http://schemas.microsoft.com/office/drawing/2014/main" id="{DC657D10-8A5A-F942-E8EB-742A5235D7A2}"/>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26"/>
          </a:graphicData>
        </a:graphic>
      </xdr:graphicFrame>
      <xdr:sp macro="" textlink="ScoringTables!N8">
        <xdr:nvSpPr>
          <xdr:cNvPr id="114" name="TextBox 113">
            <a:extLst>
              <a:ext uri="{FF2B5EF4-FFF2-40B4-BE49-F238E27FC236}">
                <a16:creationId xmlns:a16="http://schemas.microsoft.com/office/drawing/2014/main" id="{93823469-0AFE-374B-5729-0DADCF801C3C}"/>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F31A12DB-C3E4-4BF0-A65E-E3240AB050BD}"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81</xdr:col>
      <xdr:colOff>21064</xdr:colOff>
      <xdr:row>9</xdr:row>
      <xdr:rowOff>17169</xdr:rowOff>
    </xdr:from>
    <xdr:to>
      <xdr:col>86</xdr:col>
      <xdr:colOff>2346</xdr:colOff>
      <xdr:row>17</xdr:row>
      <xdr:rowOff>1929</xdr:rowOff>
    </xdr:to>
    <xdr:grpSp>
      <xdr:nvGrpSpPr>
        <xdr:cNvPr id="118" name="Group 117">
          <a:extLst>
            <a:ext uri="{FF2B5EF4-FFF2-40B4-BE49-F238E27FC236}">
              <a16:creationId xmlns:a16="http://schemas.microsoft.com/office/drawing/2014/main" id="{88BDF3D1-38B7-464D-AB5A-178DB9B1ED4A}"/>
            </a:ext>
          </a:extLst>
        </xdr:cNvPr>
        <xdr:cNvGrpSpPr/>
      </xdr:nvGrpSpPr>
      <xdr:grpSpPr>
        <a:xfrm>
          <a:off x="17766139" y="1731669"/>
          <a:ext cx="1076657" cy="1508760"/>
          <a:chOff x="-13801168" y="-3122152"/>
          <a:chExt cx="3124199" cy="2743199"/>
        </a:xfrm>
      </xdr:grpSpPr>
      <xdr:graphicFrame macro="">
        <xdr:nvGraphicFramePr>
          <xdr:cNvPr id="119" name="Chart 118">
            <a:extLst>
              <a:ext uri="{FF2B5EF4-FFF2-40B4-BE49-F238E27FC236}">
                <a16:creationId xmlns:a16="http://schemas.microsoft.com/office/drawing/2014/main" id="{88D705FD-A653-0A63-2070-DA154247E84D}"/>
              </a:ext>
            </a:extLst>
          </xdr:cNvPr>
          <xdr:cNvGraphicFramePr>
            <a:graphicFrameLocks/>
          </xdr:cNvGraphicFramePr>
        </xdr:nvGraphicFramePr>
        <xdr:xfrm>
          <a:off x="-13801168" y="-3122152"/>
          <a:ext cx="3124199" cy="2743199"/>
        </xdr:xfrm>
        <a:graphic>
          <a:graphicData uri="http://schemas.openxmlformats.org/drawingml/2006/chart">
            <c:chart xmlns:c="http://schemas.openxmlformats.org/drawingml/2006/chart" xmlns:r="http://schemas.openxmlformats.org/officeDocument/2006/relationships" r:id="rId27"/>
          </a:graphicData>
        </a:graphic>
      </xdr:graphicFrame>
      <xdr:sp macro="" textlink="ScoringTables!N10">
        <xdr:nvSpPr>
          <xdr:cNvPr id="120" name="TextBox 119">
            <a:extLst>
              <a:ext uri="{FF2B5EF4-FFF2-40B4-BE49-F238E27FC236}">
                <a16:creationId xmlns:a16="http://schemas.microsoft.com/office/drawing/2014/main" id="{320E5FAA-BE04-9C9C-0AA8-98131204817E}"/>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5B78D4B8-E2D8-4055-A4A4-839FB20566DC}"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86</xdr:col>
      <xdr:colOff>19932</xdr:colOff>
      <xdr:row>9</xdr:row>
      <xdr:rowOff>17601</xdr:rowOff>
    </xdr:from>
    <xdr:to>
      <xdr:col>91</xdr:col>
      <xdr:colOff>280</xdr:colOff>
      <xdr:row>17</xdr:row>
      <xdr:rowOff>2361</xdr:rowOff>
    </xdr:to>
    <xdr:grpSp>
      <xdr:nvGrpSpPr>
        <xdr:cNvPr id="121" name="Group 120">
          <a:extLst>
            <a:ext uri="{FF2B5EF4-FFF2-40B4-BE49-F238E27FC236}">
              <a16:creationId xmlns:a16="http://schemas.microsoft.com/office/drawing/2014/main" id="{56B46A7F-1F1F-4AA5-8A11-1C260BF98BFA}"/>
            </a:ext>
          </a:extLst>
        </xdr:cNvPr>
        <xdr:cNvGrpSpPr/>
      </xdr:nvGrpSpPr>
      <xdr:grpSpPr>
        <a:xfrm>
          <a:off x="18860382" y="1732101"/>
          <a:ext cx="1075723" cy="1508760"/>
          <a:chOff x="-15697581" y="-4304778"/>
          <a:chExt cx="3124200" cy="2743200"/>
        </a:xfrm>
      </xdr:grpSpPr>
      <xdr:graphicFrame macro="">
        <xdr:nvGraphicFramePr>
          <xdr:cNvPr id="122" name="Chart 121">
            <a:extLst>
              <a:ext uri="{FF2B5EF4-FFF2-40B4-BE49-F238E27FC236}">
                <a16:creationId xmlns:a16="http://schemas.microsoft.com/office/drawing/2014/main" id="{F1F723E0-6BAE-3DB8-24EA-35899DD90B3D}"/>
              </a:ext>
            </a:extLst>
          </xdr:cNvPr>
          <xdr:cNvGraphicFramePr>
            <a:graphicFrameLocks/>
          </xdr:cNvGraphicFramePr>
        </xdr:nvGraphicFramePr>
        <xdr:xfrm>
          <a:off x="-15697581" y="-4304778"/>
          <a:ext cx="3124200" cy="2743200"/>
        </xdr:xfrm>
        <a:graphic>
          <a:graphicData uri="http://schemas.openxmlformats.org/drawingml/2006/chart">
            <c:chart xmlns:c="http://schemas.openxmlformats.org/drawingml/2006/chart" xmlns:r="http://schemas.openxmlformats.org/officeDocument/2006/relationships" r:id="rId28"/>
          </a:graphicData>
        </a:graphic>
      </xdr:graphicFrame>
      <xdr:sp macro="" textlink="ScoringTables!N11">
        <xdr:nvSpPr>
          <xdr:cNvPr id="123" name="TextBox 122">
            <a:extLst>
              <a:ext uri="{FF2B5EF4-FFF2-40B4-BE49-F238E27FC236}">
                <a16:creationId xmlns:a16="http://schemas.microsoft.com/office/drawing/2014/main" id="{31A7E5AE-979B-C9B3-11A8-26E7F619B852}"/>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76AA2A1D-1022-4072-A018-07C82AAA483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91</xdr:col>
      <xdr:colOff>18635</xdr:colOff>
      <xdr:row>9</xdr:row>
      <xdr:rowOff>17600</xdr:rowOff>
    </xdr:from>
    <xdr:to>
      <xdr:col>95</xdr:col>
      <xdr:colOff>216695</xdr:colOff>
      <xdr:row>17</xdr:row>
      <xdr:rowOff>2360</xdr:rowOff>
    </xdr:to>
    <xdr:grpSp>
      <xdr:nvGrpSpPr>
        <xdr:cNvPr id="124" name="Group 123">
          <a:extLst>
            <a:ext uri="{FF2B5EF4-FFF2-40B4-BE49-F238E27FC236}">
              <a16:creationId xmlns:a16="http://schemas.microsoft.com/office/drawing/2014/main" id="{9919E381-CF2D-4C33-9468-10FBB276234D}"/>
            </a:ext>
          </a:extLst>
        </xdr:cNvPr>
        <xdr:cNvGrpSpPr/>
      </xdr:nvGrpSpPr>
      <xdr:grpSpPr>
        <a:xfrm>
          <a:off x="19954460" y="1732100"/>
          <a:ext cx="1074360" cy="1508760"/>
          <a:chOff x="-13801171" y="-3122153"/>
          <a:chExt cx="3124200" cy="2743200"/>
        </a:xfrm>
      </xdr:grpSpPr>
      <xdr:graphicFrame macro="">
        <xdr:nvGraphicFramePr>
          <xdr:cNvPr id="125" name="Chart 124">
            <a:extLst>
              <a:ext uri="{FF2B5EF4-FFF2-40B4-BE49-F238E27FC236}">
                <a16:creationId xmlns:a16="http://schemas.microsoft.com/office/drawing/2014/main" id="{7D1BFA69-A6DE-1FAD-1DDE-484898E6FF8B}"/>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29"/>
          </a:graphicData>
        </a:graphic>
      </xdr:graphicFrame>
      <xdr:sp macro="" textlink="ScoringTables!N12">
        <xdr:nvSpPr>
          <xdr:cNvPr id="126" name="TextBox 125">
            <a:extLst>
              <a:ext uri="{FF2B5EF4-FFF2-40B4-BE49-F238E27FC236}">
                <a16:creationId xmlns:a16="http://schemas.microsoft.com/office/drawing/2014/main" id="{7870F38D-5574-B3CF-A917-6D6A2659B6AD}"/>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C76ADBE-9B01-4143-8040-81597B3497D7}"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96</xdr:col>
      <xdr:colOff>12265</xdr:colOff>
      <xdr:row>9</xdr:row>
      <xdr:rowOff>13280</xdr:rowOff>
    </xdr:from>
    <xdr:to>
      <xdr:col>100</xdr:col>
      <xdr:colOff>211262</xdr:colOff>
      <xdr:row>16</xdr:row>
      <xdr:rowOff>188540</xdr:rowOff>
    </xdr:to>
    <xdr:grpSp>
      <xdr:nvGrpSpPr>
        <xdr:cNvPr id="127" name="Group 126">
          <a:extLst>
            <a:ext uri="{FF2B5EF4-FFF2-40B4-BE49-F238E27FC236}">
              <a16:creationId xmlns:a16="http://schemas.microsoft.com/office/drawing/2014/main" id="{580EDA8D-1716-4FD5-BFE3-F814F05289CB}"/>
            </a:ext>
          </a:extLst>
        </xdr:cNvPr>
        <xdr:cNvGrpSpPr/>
      </xdr:nvGrpSpPr>
      <xdr:grpSpPr>
        <a:xfrm>
          <a:off x="21043465" y="1727780"/>
          <a:ext cx="1075297" cy="1508760"/>
          <a:chOff x="-15697579" y="-4304777"/>
          <a:chExt cx="3124200" cy="2743200"/>
        </a:xfrm>
      </xdr:grpSpPr>
      <xdr:graphicFrame macro="">
        <xdr:nvGraphicFramePr>
          <xdr:cNvPr id="128" name="Chart 127">
            <a:extLst>
              <a:ext uri="{FF2B5EF4-FFF2-40B4-BE49-F238E27FC236}">
                <a16:creationId xmlns:a16="http://schemas.microsoft.com/office/drawing/2014/main" id="{A96033FD-E894-2271-921E-0C5813C63D29}"/>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30"/>
          </a:graphicData>
        </a:graphic>
      </xdr:graphicFrame>
      <xdr:sp macro="" textlink="ScoringTables!N13">
        <xdr:nvSpPr>
          <xdr:cNvPr id="129" name="TextBox 128">
            <a:extLst>
              <a:ext uri="{FF2B5EF4-FFF2-40B4-BE49-F238E27FC236}">
                <a16:creationId xmlns:a16="http://schemas.microsoft.com/office/drawing/2014/main" id="{4847259D-5AA9-BEEA-B437-5C555F3C9686}"/>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EAF17254-5E7F-4A6D-B375-AF33219AF37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101</xdr:col>
      <xdr:colOff>17737</xdr:colOff>
      <xdr:row>9</xdr:row>
      <xdr:rowOff>8955</xdr:rowOff>
    </xdr:from>
    <xdr:to>
      <xdr:col>105</xdr:col>
      <xdr:colOff>216737</xdr:colOff>
      <xdr:row>16</xdr:row>
      <xdr:rowOff>184215</xdr:rowOff>
    </xdr:to>
    <xdr:grpSp>
      <xdr:nvGrpSpPr>
        <xdr:cNvPr id="130" name="Group 129">
          <a:extLst>
            <a:ext uri="{FF2B5EF4-FFF2-40B4-BE49-F238E27FC236}">
              <a16:creationId xmlns:a16="http://schemas.microsoft.com/office/drawing/2014/main" id="{626021DF-D0A6-45DF-B9AC-1CA36A68C65B}"/>
            </a:ext>
          </a:extLst>
        </xdr:cNvPr>
        <xdr:cNvGrpSpPr/>
      </xdr:nvGrpSpPr>
      <xdr:grpSpPr>
        <a:xfrm>
          <a:off x="22144312" y="1723455"/>
          <a:ext cx="1075300" cy="1508760"/>
          <a:chOff x="-13232249" y="-3109961"/>
          <a:chExt cx="3124200" cy="2743200"/>
        </a:xfrm>
      </xdr:grpSpPr>
      <xdr:graphicFrame macro="">
        <xdr:nvGraphicFramePr>
          <xdr:cNvPr id="131" name="Chart 130">
            <a:extLst>
              <a:ext uri="{FF2B5EF4-FFF2-40B4-BE49-F238E27FC236}">
                <a16:creationId xmlns:a16="http://schemas.microsoft.com/office/drawing/2014/main" id="{C3C1B72D-5045-FC87-4FE1-114016AB53A2}"/>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31"/>
          </a:graphicData>
        </a:graphic>
      </xdr:graphicFrame>
      <xdr:sp macro="" textlink="ScoringTables!N14">
        <xdr:nvSpPr>
          <xdr:cNvPr id="132" name="TextBox 131">
            <a:extLst>
              <a:ext uri="{FF2B5EF4-FFF2-40B4-BE49-F238E27FC236}">
                <a16:creationId xmlns:a16="http://schemas.microsoft.com/office/drawing/2014/main" id="{A5FA0909-B29B-4D36-EE06-DC67936AD22A}"/>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C47D8C55-C053-4F54-B91A-ADBE4E6E5492}" type="TxLink">
              <a:rPr lang="en-US" sz="1100" b="1" i="0" u="none" strike="noStrike">
                <a:solidFill>
                  <a:srgbClr val="000000"/>
                </a:solidFill>
                <a:latin typeface="Calibri"/>
                <a:ea typeface="Calibri"/>
                <a:cs typeface="Calibri"/>
              </a:rPr>
              <a:pPr algn="ctr"/>
              <a:t>N/A</a:t>
            </a:fld>
            <a:endParaRPr lang="en-US" sz="1000" b="1">
              <a:latin typeface="+mn-lt"/>
            </a:endParaRPr>
          </a:p>
        </xdr:txBody>
      </xdr:sp>
    </xdr:grpSp>
    <xdr:clientData/>
  </xdr:twoCellAnchor>
  <xdr:twoCellAnchor>
    <xdr:from>
      <xdr:col>76</xdr:col>
      <xdr:colOff>27717</xdr:colOff>
      <xdr:row>17</xdr:row>
      <xdr:rowOff>13935</xdr:rowOff>
    </xdr:from>
    <xdr:to>
      <xdr:col>80</xdr:col>
      <xdr:colOff>214338</xdr:colOff>
      <xdr:row>24</xdr:row>
      <xdr:rowOff>180536</xdr:rowOff>
    </xdr:to>
    <xdr:grpSp>
      <xdr:nvGrpSpPr>
        <xdr:cNvPr id="133" name="Group 132">
          <a:extLst>
            <a:ext uri="{FF2B5EF4-FFF2-40B4-BE49-F238E27FC236}">
              <a16:creationId xmlns:a16="http://schemas.microsoft.com/office/drawing/2014/main" id="{EF29EDC9-0B87-43C5-8707-EDD4C38F93DC}"/>
            </a:ext>
          </a:extLst>
        </xdr:cNvPr>
        <xdr:cNvGrpSpPr/>
      </xdr:nvGrpSpPr>
      <xdr:grpSpPr>
        <a:xfrm>
          <a:off x="16677417" y="3252435"/>
          <a:ext cx="1062921" cy="1509626"/>
          <a:chOff x="-13801171" y="-3122153"/>
          <a:chExt cx="3124200" cy="2743200"/>
        </a:xfrm>
      </xdr:grpSpPr>
      <xdr:graphicFrame macro="">
        <xdr:nvGraphicFramePr>
          <xdr:cNvPr id="134" name="Chart 133">
            <a:extLst>
              <a:ext uri="{FF2B5EF4-FFF2-40B4-BE49-F238E27FC236}">
                <a16:creationId xmlns:a16="http://schemas.microsoft.com/office/drawing/2014/main" id="{119BA0D2-99BC-1D46-7F62-37B91EA5D311}"/>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32"/>
          </a:graphicData>
        </a:graphic>
      </xdr:graphicFrame>
      <xdr:sp macro="" textlink="ScoringTables!N15">
        <xdr:nvSpPr>
          <xdr:cNvPr id="135" name="TextBox 134">
            <a:extLst>
              <a:ext uri="{FF2B5EF4-FFF2-40B4-BE49-F238E27FC236}">
                <a16:creationId xmlns:a16="http://schemas.microsoft.com/office/drawing/2014/main" id="{E7319AE1-789B-AE01-AE40-5C30A8E9D1A0}"/>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B81AF76A-A63A-44AD-8B45-5490AE245D6F}"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81</xdr:col>
      <xdr:colOff>32821</xdr:colOff>
      <xdr:row>17</xdr:row>
      <xdr:rowOff>25514</xdr:rowOff>
    </xdr:from>
    <xdr:to>
      <xdr:col>85</xdr:col>
      <xdr:colOff>219441</xdr:colOff>
      <xdr:row>25</xdr:row>
      <xdr:rowOff>1615</xdr:rowOff>
    </xdr:to>
    <xdr:grpSp>
      <xdr:nvGrpSpPr>
        <xdr:cNvPr id="136" name="Group 135">
          <a:extLst>
            <a:ext uri="{FF2B5EF4-FFF2-40B4-BE49-F238E27FC236}">
              <a16:creationId xmlns:a16="http://schemas.microsoft.com/office/drawing/2014/main" id="{E99362B9-8CBA-44FA-883C-C26B1D863C41}"/>
            </a:ext>
          </a:extLst>
        </xdr:cNvPr>
        <xdr:cNvGrpSpPr/>
      </xdr:nvGrpSpPr>
      <xdr:grpSpPr>
        <a:xfrm>
          <a:off x="17777896" y="3264014"/>
          <a:ext cx="1062920" cy="1509626"/>
          <a:chOff x="-15697579" y="-4304777"/>
          <a:chExt cx="3124200" cy="2743200"/>
        </a:xfrm>
      </xdr:grpSpPr>
      <xdr:graphicFrame macro="">
        <xdr:nvGraphicFramePr>
          <xdr:cNvPr id="137" name="Chart 136">
            <a:extLst>
              <a:ext uri="{FF2B5EF4-FFF2-40B4-BE49-F238E27FC236}">
                <a16:creationId xmlns:a16="http://schemas.microsoft.com/office/drawing/2014/main" id="{9F1773FE-4EFF-DEFA-D68B-657673FDB6CC}"/>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33"/>
          </a:graphicData>
        </a:graphic>
      </xdr:graphicFrame>
      <xdr:sp macro="" textlink="ScoringTables!N16">
        <xdr:nvSpPr>
          <xdr:cNvPr id="138" name="TextBox 137">
            <a:extLst>
              <a:ext uri="{FF2B5EF4-FFF2-40B4-BE49-F238E27FC236}">
                <a16:creationId xmlns:a16="http://schemas.microsoft.com/office/drawing/2014/main" id="{FC245760-D99D-5782-EA40-9CF6514F1974}"/>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861150C0-B4A7-446D-B92B-B97D3497417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86</xdr:col>
      <xdr:colOff>33902</xdr:colOff>
      <xdr:row>17</xdr:row>
      <xdr:rowOff>24570</xdr:rowOff>
    </xdr:from>
    <xdr:to>
      <xdr:col>90</xdr:col>
      <xdr:colOff>220522</xdr:colOff>
      <xdr:row>25</xdr:row>
      <xdr:rowOff>671</xdr:rowOff>
    </xdr:to>
    <xdr:grpSp>
      <xdr:nvGrpSpPr>
        <xdr:cNvPr id="139" name="Group 138">
          <a:extLst>
            <a:ext uri="{FF2B5EF4-FFF2-40B4-BE49-F238E27FC236}">
              <a16:creationId xmlns:a16="http://schemas.microsoft.com/office/drawing/2014/main" id="{ED1CA617-BBEA-4B39-B2E2-B8CF6C40E3DC}"/>
            </a:ext>
          </a:extLst>
        </xdr:cNvPr>
        <xdr:cNvGrpSpPr/>
      </xdr:nvGrpSpPr>
      <xdr:grpSpPr>
        <a:xfrm>
          <a:off x="18874352" y="3263070"/>
          <a:ext cx="1062920" cy="1509626"/>
          <a:chOff x="-13801171" y="-3122153"/>
          <a:chExt cx="3124200" cy="2743200"/>
        </a:xfrm>
      </xdr:grpSpPr>
      <xdr:graphicFrame macro="">
        <xdr:nvGraphicFramePr>
          <xdr:cNvPr id="140" name="Chart 139">
            <a:extLst>
              <a:ext uri="{FF2B5EF4-FFF2-40B4-BE49-F238E27FC236}">
                <a16:creationId xmlns:a16="http://schemas.microsoft.com/office/drawing/2014/main" id="{CDAECCF1-8C34-D495-0404-8AD291F4D158}"/>
              </a:ext>
            </a:extLst>
          </xdr:cNvPr>
          <xdr:cNvGraphicFramePr>
            <a:graphicFrameLocks/>
          </xdr:cNvGraphicFramePr>
        </xdr:nvGraphicFramePr>
        <xdr:xfrm>
          <a:off x="-13801171" y="-3122153"/>
          <a:ext cx="3124200" cy="2743200"/>
        </xdr:xfrm>
        <a:graphic>
          <a:graphicData uri="http://schemas.openxmlformats.org/drawingml/2006/chart">
            <c:chart xmlns:c="http://schemas.openxmlformats.org/drawingml/2006/chart" xmlns:r="http://schemas.openxmlformats.org/officeDocument/2006/relationships" r:id="rId34"/>
          </a:graphicData>
        </a:graphic>
      </xdr:graphicFrame>
      <xdr:sp macro="" textlink="ScoringTables!N17">
        <xdr:nvSpPr>
          <xdr:cNvPr id="141" name="TextBox 140">
            <a:extLst>
              <a:ext uri="{FF2B5EF4-FFF2-40B4-BE49-F238E27FC236}">
                <a16:creationId xmlns:a16="http://schemas.microsoft.com/office/drawing/2014/main" id="{76C5D25A-4B53-8FD7-343D-699363D747BC}"/>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B739338A-1AB8-40DA-9058-BB1ABE457478}"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91</xdr:col>
      <xdr:colOff>35177</xdr:colOff>
      <xdr:row>17</xdr:row>
      <xdr:rowOff>24421</xdr:rowOff>
    </xdr:from>
    <xdr:to>
      <xdr:col>96</xdr:col>
      <xdr:colOff>990</xdr:colOff>
      <xdr:row>25</xdr:row>
      <xdr:rowOff>522</xdr:rowOff>
    </xdr:to>
    <xdr:grpSp>
      <xdr:nvGrpSpPr>
        <xdr:cNvPr id="142" name="Group 141">
          <a:extLst>
            <a:ext uri="{FF2B5EF4-FFF2-40B4-BE49-F238E27FC236}">
              <a16:creationId xmlns:a16="http://schemas.microsoft.com/office/drawing/2014/main" id="{6B65DFF7-4648-4A18-B271-5EB7E919B5CE}"/>
            </a:ext>
          </a:extLst>
        </xdr:cNvPr>
        <xdr:cNvGrpSpPr/>
      </xdr:nvGrpSpPr>
      <xdr:grpSpPr>
        <a:xfrm>
          <a:off x="19971002" y="3262921"/>
          <a:ext cx="1061188" cy="1509626"/>
          <a:chOff x="-15697579" y="-4304777"/>
          <a:chExt cx="3124200" cy="2743200"/>
        </a:xfrm>
      </xdr:grpSpPr>
      <xdr:graphicFrame macro="">
        <xdr:nvGraphicFramePr>
          <xdr:cNvPr id="143" name="Chart 142">
            <a:extLst>
              <a:ext uri="{FF2B5EF4-FFF2-40B4-BE49-F238E27FC236}">
                <a16:creationId xmlns:a16="http://schemas.microsoft.com/office/drawing/2014/main" id="{BB1DD340-DA48-F0E7-662C-357870527F98}"/>
              </a:ext>
            </a:extLst>
          </xdr:cNvPr>
          <xdr:cNvGraphicFramePr>
            <a:graphicFrameLocks/>
          </xdr:cNvGraphicFramePr>
        </xdr:nvGraphicFramePr>
        <xdr:xfrm>
          <a:off x="-15697579" y="-4304777"/>
          <a:ext cx="3124200" cy="2743200"/>
        </xdr:xfrm>
        <a:graphic>
          <a:graphicData uri="http://schemas.openxmlformats.org/drawingml/2006/chart">
            <c:chart xmlns:c="http://schemas.openxmlformats.org/drawingml/2006/chart" xmlns:r="http://schemas.openxmlformats.org/officeDocument/2006/relationships" r:id="rId35"/>
          </a:graphicData>
        </a:graphic>
      </xdr:graphicFrame>
      <xdr:sp macro="" textlink="ScoringTables!N18">
        <xdr:nvSpPr>
          <xdr:cNvPr id="144" name="TextBox 143">
            <a:extLst>
              <a:ext uri="{FF2B5EF4-FFF2-40B4-BE49-F238E27FC236}">
                <a16:creationId xmlns:a16="http://schemas.microsoft.com/office/drawing/2014/main" id="{23F96327-A55D-3CCB-DDDD-BB7C264A098D}"/>
              </a:ext>
            </a:extLst>
          </xdr:cNvPr>
          <xdr:cNvSpPr txBox="1"/>
        </xdr:nvSpPr>
        <xdr:spPr>
          <a:xfrm>
            <a:off x="-14618159" y="-2950148"/>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2D74E8CD-A3A9-4EE7-A9A2-CCA04A225C04}" type="TxLink">
              <a:rPr lang="en-US" sz="1100" b="1" i="0" u="none" strike="noStrike">
                <a:solidFill>
                  <a:srgbClr val="000000"/>
                </a:solidFill>
                <a:latin typeface="Calibri"/>
                <a:ea typeface="Calibri"/>
                <a:cs typeface="Calibri"/>
              </a:rPr>
              <a:pPr algn="ctr"/>
              <a:t>N/A</a:t>
            </a:fld>
            <a:endParaRPr lang="en-US" sz="1000" b="1">
              <a:latin typeface="+mn-lt"/>
            </a:endParaRPr>
          </a:p>
        </xdr:txBody>
      </xdr:sp>
    </xdr:grpSp>
    <xdr:clientData/>
  </xdr:twoCellAnchor>
  <xdr:twoCellAnchor>
    <xdr:from>
      <xdr:col>96</xdr:col>
      <xdr:colOff>32052</xdr:colOff>
      <xdr:row>17</xdr:row>
      <xdr:rowOff>7878</xdr:rowOff>
    </xdr:from>
    <xdr:to>
      <xdr:col>100</xdr:col>
      <xdr:colOff>218673</xdr:colOff>
      <xdr:row>24</xdr:row>
      <xdr:rowOff>174479</xdr:rowOff>
    </xdr:to>
    <xdr:grpSp>
      <xdr:nvGrpSpPr>
        <xdr:cNvPr id="145" name="Group 144">
          <a:extLst>
            <a:ext uri="{FF2B5EF4-FFF2-40B4-BE49-F238E27FC236}">
              <a16:creationId xmlns:a16="http://schemas.microsoft.com/office/drawing/2014/main" id="{372551FE-F078-4C05-BAB6-A746AFE97AA7}"/>
            </a:ext>
          </a:extLst>
        </xdr:cNvPr>
        <xdr:cNvGrpSpPr/>
      </xdr:nvGrpSpPr>
      <xdr:grpSpPr>
        <a:xfrm>
          <a:off x="21063252" y="3246378"/>
          <a:ext cx="1062921" cy="1509626"/>
          <a:chOff x="-13232249" y="-3109961"/>
          <a:chExt cx="3124200" cy="2743200"/>
        </a:xfrm>
      </xdr:grpSpPr>
      <xdr:graphicFrame macro="">
        <xdr:nvGraphicFramePr>
          <xdr:cNvPr id="146" name="Chart 145">
            <a:extLst>
              <a:ext uri="{FF2B5EF4-FFF2-40B4-BE49-F238E27FC236}">
                <a16:creationId xmlns:a16="http://schemas.microsoft.com/office/drawing/2014/main" id="{4A47E4CA-98C8-8124-E2DF-763FF581992B}"/>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36"/>
          </a:graphicData>
        </a:graphic>
      </xdr:graphicFrame>
      <xdr:sp macro="" textlink="ScoringTables!N19">
        <xdr:nvSpPr>
          <xdr:cNvPr id="147" name="TextBox 146">
            <a:extLst>
              <a:ext uri="{FF2B5EF4-FFF2-40B4-BE49-F238E27FC236}">
                <a16:creationId xmlns:a16="http://schemas.microsoft.com/office/drawing/2014/main" id="{EB41C5FD-45A0-D290-5BF5-B4B688044EEC}"/>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D70D4870-3072-487C-A956-A7C1FFD06333}"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101</xdr:col>
      <xdr:colOff>28945</xdr:colOff>
      <xdr:row>17</xdr:row>
      <xdr:rowOff>24452</xdr:rowOff>
    </xdr:from>
    <xdr:to>
      <xdr:col>105</xdr:col>
      <xdr:colOff>215566</xdr:colOff>
      <xdr:row>25</xdr:row>
      <xdr:rowOff>553</xdr:rowOff>
    </xdr:to>
    <xdr:grpSp>
      <xdr:nvGrpSpPr>
        <xdr:cNvPr id="9" name="Group 147">
          <a:extLst>
            <a:ext uri="{FF2B5EF4-FFF2-40B4-BE49-F238E27FC236}">
              <a16:creationId xmlns:a16="http://schemas.microsoft.com/office/drawing/2014/main" id="{A1BB932F-5F41-44DA-9791-345086B58D86}"/>
            </a:ext>
          </a:extLst>
        </xdr:cNvPr>
        <xdr:cNvGrpSpPr/>
      </xdr:nvGrpSpPr>
      <xdr:grpSpPr>
        <a:xfrm>
          <a:off x="22155520" y="3262952"/>
          <a:ext cx="1062921" cy="1509626"/>
          <a:chOff x="-13801167" y="-3122153"/>
          <a:chExt cx="3124199" cy="2743200"/>
        </a:xfrm>
      </xdr:grpSpPr>
      <xdr:graphicFrame macro="">
        <xdr:nvGraphicFramePr>
          <xdr:cNvPr id="13" name="Chart 148">
            <a:extLst>
              <a:ext uri="{FF2B5EF4-FFF2-40B4-BE49-F238E27FC236}">
                <a16:creationId xmlns:a16="http://schemas.microsoft.com/office/drawing/2014/main" id="{F0E7A255-5AF6-9C8E-D971-8E963CA1BEF3}"/>
              </a:ext>
            </a:extLst>
          </xdr:cNvPr>
          <xdr:cNvGraphicFramePr>
            <a:graphicFrameLocks/>
          </xdr:cNvGraphicFramePr>
        </xdr:nvGraphicFramePr>
        <xdr:xfrm>
          <a:off x="-13801167" y="-3122153"/>
          <a:ext cx="3124199" cy="2743200"/>
        </xdr:xfrm>
        <a:graphic>
          <a:graphicData uri="http://schemas.openxmlformats.org/drawingml/2006/chart">
            <c:chart xmlns:c="http://schemas.openxmlformats.org/drawingml/2006/chart" xmlns:r="http://schemas.openxmlformats.org/officeDocument/2006/relationships" r:id="rId37"/>
          </a:graphicData>
        </a:graphic>
      </xdr:graphicFrame>
      <xdr:sp macro="" textlink="ScoringTables!N20">
        <xdr:nvSpPr>
          <xdr:cNvPr id="14" name="TextBox 149">
            <a:extLst>
              <a:ext uri="{FF2B5EF4-FFF2-40B4-BE49-F238E27FC236}">
                <a16:creationId xmlns:a16="http://schemas.microsoft.com/office/drawing/2014/main" id="{760D8DFF-E8F1-4593-D15B-508D5B8F45ED}"/>
              </a:ext>
            </a:extLst>
          </xdr:cNvPr>
          <xdr:cNvSpPr txBox="1"/>
        </xdr:nvSpPr>
        <xdr:spPr>
          <a:xfrm>
            <a:off x="-12721748" y="-1755330"/>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52915BC4-0199-4A62-A86E-811B54929C0B}"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76</xdr:col>
      <xdr:colOff>27428</xdr:colOff>
      <xdr:row>9</xdr:row>
      <xdr:rowOff>6569</xdr:rowOff>
    </xdr:from>
    <xdr:to>
      <xdr:col>81</xdr:col>
      <xdr:colOff>2144</xdr:colOff>
      <xdr:row>16</xdr:row>
      <xdr:rowOff>181829</xdr:rowOff>
    </xdr:to>
    <xdr:grpSp>
      <xdr:nvGrpSpPr>
        <xdr:cNvPr id="151" name="Group 150">
          <a:extLst>
            <a:ext uri="{FF2B5EF4-FFF2-40B4-BE49-F238E27FC236}">
              <a16:creationId xmlns:a16="http://schemas.microsoft.com/office/drawing/2014/main" id="{06E1B146-A13B-4677-9FCC-250904C83531}"/>
            </a:ext>
          </a:extLst>
        </xdr:cNvPr>
        <xdr:cNvGrpSpPr/>
      </xdr:nvGrpSpPr>
      <xdr:grpSpPr>
        <a:xfrm>
          <a:off x="16677128" y="1721069"/>
          <a:ext cx="1070091" cy="1508760"/>
          <a:chOff x="-13232249" y="-3109961"/>
          <a:chExt cx="3124200" cy="2743200"/>
        </a:xfrm>
      </xdr:grpSpPr>
      <xdr:graphicFrame macro="">
        <xdr:nvGraphicFramePr>
          <xdr:cNvPr id="152" name="Chart 151">
            <a:extLst>
              <a:ext uri="{FF2B5EF4-FFF2-40B4-BE49-F238E27FC236}">
                <a16:creationId xmlns:a16="http://schemas.microsoft.com/office/drawing/2014/main" id="{3E96BEFE-E3B6-1C6E-889A-6F0E70DD7B80}"/>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38"/>
          </a:graphicData>
        </a:graphic>
      </xdr:graphicFrame>
      <xdr:sp macro="" textlink="ScoringTables!N9">
        <xdr:nvSpPr>
          <xdr:cNvPr id="153" name="TextBox 152">
            <a:extLst>
              <a:ext uri="{FF2B5EF4-FFF2-40B4-BE49-F238E27FC236}">
                <a16:creationId xmlns:a16="http://schemas.microsoft.com/office/drawing/2014/main" id="{B8ED8C54-6879-9CE7-009E-C44A056E85E2}"/>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430F5DAD-0A78-4314-A08D-EAB77E9DC68D}"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91</xdr:col>
      <xdr:colOff>21768</xdr:colOff>
      <xdr:row>1</xdr:row>
      <xdr:rowOff>14257</xdr:rowOff>
    </xdr:from>
    <xdr:to>
      <xdr:col>95</xdr:col>
      <xdr:colOff>216027</xdr:colOff>
      <xdr:row>8</xdr:row>
      <xdr:rowOff>189517</xdr:rowOff>
    </xdr:to>
    <xdr:grpSp>
      <xdr:nvGrpSpPr>
        <xdr:cNvPr id="154" name="Group 153">
          <a:extLst>
            <a:ext uri="{FF2B5EF4-FFF2-40B4-BE49-F238E27FC236}">
              <a16:creationId xmlns:a16="http://schemas.microsoft.com/office/drawing/2014/main" id="{21B4BDB4-0164-431D-9D94-DB59C1D3F592}"/>
            </a:ext>
          </a:extLst>
        </xdr:cNvPr>
        <xdr:cNvGrpSpPr/>
      </xdr:nvGrpSpPr>
      <xdr:grpSpPr>
        <a:xfrm>
          <a:off x="19957593" y="204757"/>
          <a:ext cx="1070559" cy="1508760"/>
          <a:chOff x="-13232249" y="-3109961"/>
          <a:chExt cx="3124200" cy="2743200"/>
        </a:xfrm>
      </xdr:grpSpPr>
      <xdr:graphicFrame macro="">
        <xdr:nvGraphicFramePr>
          <xdr:cNvPr id="155" name="Chart 154">
            <a:extLst>
              <a:ext uri="{FF2B5EF4-FFF2-40B4-BE49-F238E27FC236}">
                <a16:creationId xmlns:a16="http://schemas.microsoft.com/office/drawing/2014/main" id="{ECEA8BB5-FE31-376E-08D1-74AE70D19DAB}"/>
              </a:ext>
            </a:extLst>
          </xdr:cNvPr>
          <xdr:cNvGraphicFramePr>
            <a:graphicFrameLocks/>
          </xdr:cNvGraphicFramePr>
        </xdr:nvGraphicFramePr>
        <xdr:xfrm>
          <a:off x="-13232249" y="-3109961"/>
          <a:ext cx="3124200" cy="2743200"/>
        </xdr:xfrm>
        <a:graphic>
          <a:graphicData uri="http://schemas.openxmlformats.org/drawingml/2006/chart">
            <c:chart xmlns:c="http://schemas.openxmlformats.org/drawingml/2006/chart" xmlns:r="http://schemas.openxmlformats.org/officeDocument/2006/relationships" r:id="rId39"/>
          </a:graphicData>
        </a:graphic>
      </xdr:graphicFrame>
      <xdr:sp macro="" textlink="ScoringTables!N6">
        <xdr:nvSpPr>
          <xdr:cNvPr id="156" name="TextBox 155">
            <a:extLst>
              <a:ext uri="{FF2B5EF4-FFF2-40B4-BE49-F238E27FC236}">
                <a16:creationId xmlns:a16="http://schemas.microsoft.com/office/drawing/2014/main" id="{941F9883-5FDE-8EBC-DE2F-81EC7F2D54F0}"/>
              </a:ext>
            </a:extLst>
          </xdr:cNvPr>
          <xdr:cNvSpPr txBox="1"/>
        </xdr:nvSpPr>
        <xdr:spPr>
          <a:xfrm>
            <a:off x="-12118346" y="-1767523"/>
            <a:ext cx="1000126" cy="533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0">
            <a:noAutofit/>
          </a:bodyPr>
          <a:lstStyle/>
          <a:p>
            <a:pPr algn="ctr"/>
            <a:fld id="{DB3B6E4D-C8F4-40D2-B3F1-1E696A30A89E}" type="TxLink">
              <a:rPr lang="en-US" sz="1100" b="1" i="0" u="none" strike="noStrike">
                <a:solidFill>
                  <a:srgbClr val="000000"/>
                </a:solidFill>
                <a:latin typeface="Calibri"/>
                <a:ea typeface="Calibri"/>
                <a:cs typeface="Calibri"/>
              </a:rPr>
              <a:pPr algn="ctr"/>
              <a:t>0%</a:t>
            </a:fld>
            <a:endParaRPr lang="en-US" sz="1000" b="1">
              <a:latin typeface="+mn-lt"/>
            </a:endParaRPr>
          </a:p>
        </xdr:txBody>
      </xdr:sp>
    </xdr:grpSp>
    <xdr:clientData/>
  </xdr:twoCellAnchor>
  <xdr:twoCellAnchor>
    <xdr:from>
      <xdr:col>65</xdr:col>
      <xdr:colOff>167811</xdr:colOff>
      <xdr:row>18</xdr:row>
      <xdr:rowOff>12566</xdr:rowOff>
    </xdr:from>
    <xdr:to>
      <xdr:col>67</xdr:col>
      <xdr:colOff>183397</xdr:colOff>
      <xdr:row>18</xdr:row>
      <xdr:rowOff>152934</xdr:rowOff>
    </xdr:to>
    <xdr:sp macro="" textlink="">
      <xdr:nvSpPr>
        <xdr:cNvPr id="157" name="Rectangle 156">
          <a:extLst>
            <a:ext uri="{FF2B5EF4-FFF2-40B4-BE49-F238E27FC236}">
              <a16:creationId xmlns:a16="http://schemas.microsoft.com/office/drawing/2014/main" id="{9635A925-3F5F-4CE4-AAAC-7A409C5D6888}"/>
            </a:ext>
          </a:extLst>
        </xdr:cNvPr>
        <xdr:cNvSpPr/>
      </xdr:nvSpPr>
      <xdr:spPr>
        <a:xfrm>
          <a:off x="14520254" y="3441566"/>
          <a:ext cx="457200" cy="140368"/>
        </a:xfrm>
        <a:prstGeom prst="rect">
          <a:avLst/>
        </a:prstGeom>
        <a:solidFill>
          <a:srgbClr val="92D05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165926</xdr:colOff>
      <xdr:row>19</xdr:row>
      <xdr:rowOff>1207</xdr:rowOff>
    </xdr:from>
    <xdr:to>
      <xdr:col>67</xdr:col>
      <xdr:colOff>181512</xdr:colOff>
      <xdr:row>19</xdr:row>
      <xdr:rowOff>141575</xdr:rowOff>
    </xdr:to>
    <xdr:sp macro="" textlink="">
      <xdr:nvSpPr>
        <xdr:cNvPr id="158" name="Rectangle 157">
          <a:extLst>
            <a:ext uri="{FF2B5EF4-FFF2-40B4-BE49-F238E27FC236}">
              <a16:creationId xmlns:a16="http://schemas.microsoft.com/office/drawing/2014/main" id="{57E8184F-D972-410D-8511-1CE85153090C}"/>
            </a:ext>
          </a:extLst>
        </xdr:cNvPr>
        <xdr:cNvSpPr/>
      </xdr:nvSpPr>
      <xdr:spPr>
        <a:xfrm>
          <a:off x="14518369" y="3629366"/>
          <a:ext cx="457200" cy="140368"/>
        </a:xfrm>
        <a:prstGeom prst="rect">
          <a:avLst/>
        </a:prstGeom>
        <a:solidFill>
          <a:srgbClr val="FFFF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165926</xdr:colOff>
      <xdr:row>20</xdr:row>
      <xdr:rowOff>1207</xdr:rowOff>
    </xdr:from>
    <xdr:to>
      <xdr:col>67</xdr:col>
      <xdr:colOff>181512</xdr:colOff>
      <xdr:row>20</xdr:row>
      <xdr:rowOff>141575</xdr:rowOff>
    </xdr:to>
    <xdr:sp macro="" textlink="">
      <xdr:nvSpPr>
        <xdr:cNvPr id="159" name="Rectangle 158">
          <a:extLst>
            <a:ext uri="{FF2B5EF4-FFF2-40B4-BE49-F238E27FC236}">
              <a16:creationId xmlns:a16="http://schemas.microsoft.com/office/drawing/2014/main" id="{4E5C00F2-9FBA-443E-9C5E-0D4F16AEEE75}"/>
            </a:ext>
          </a:extLst>
        </xdr:cNvPr>
        <xdr:cNvSpPr/>
      </xdr:nvSpPr>
      <xdr:spPr>
        <a:xfrm>
          <a:off x="14518369" y="3819866"/>
          <a:ext cx="457200" cy="140368"/>
        </a:xfrm>
        <a:prstGeom prst="rect">
          <a:avLst/>
        </a:prstGeom>
        <a:solidFill>
          <a:srgbClr val="FF64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165926</xdr:colOff>
      <xdr:row>21</xdr:row>
      <xdr:rowOff>1207</xdr:rowOff>
    </xdr:from>
    <xdr:to>
      <xdr:col>67</xdr:col>
      <xdr:colOff>181512</xdr:colOff>
      <xdr:row>21</xdr:row>
      <xdr:rowOff>141575</xdr:rowOff>
    </xdr:to>
    <xdr:sp macro="" textlink="">
      <xdr:nvSpPr>
        <xdr:cNvPr id="160" name="Rectangle 159">
          <a:extLst>
            <a:ext uri="{FF2B5EF4-FFF2-40B4-BE49-F238E27FC236}">
              <a16:creationId xmlns:a16="http://schemas.microsoft.com/office/drawing/2014/main" id="{28781EDE-3438-4174-B833-EAB5D37DC934}"/>
            </a:ext>
          </a:extLst>
        </xdr:cNvPr>
        <xdr:cNvSpPr/>
      </xdr:nvSpPr>
      <xdr:spPr>
        <a:xfrm>
          <a:off x="14518369" y="4010366"/>
          <a:ext cx="457200" cy="140368"/>
        </a:xfrm>
        <a:prstGeom prst="rect">
          <a:avLst/>
        </a:prstGeom>
        <a:solidFill>
          <a:srgbClr val="FF0000"/>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165926</xdr:colOff>
      <xdr:row>22</xdr:row>
      <xdr:rowOff>1207</xdr:rowOff>
    </xdr:from>
    <xdr:to>
      <xdr:col>67</xdr:col>
      <xdr:colOff>181512</xdr:colOff>
      <xdr:row>22</xdr:row>
      <xdr:rowOff>141575</xdr:rowOff>
    </xdr:to>
    <xdr:sp macro="" textlink="">
      <xdr:nvSpPr>
        <xdr:cNvPr id="161" name="Rectangle 160">
          <a:extLst>
            <a:ext uri="{FF2B5EF4-FFF2-40B4-BE49-F238E27FC236}">
              <a16:creationId xmlns:a16="http://schemas.microsoft.com/office/drawing/2014/main" id="{3D10ACDD-9CC7-4CB2-B92D-7A2CB6B09285}"/>
            </a:ext>
          </a:extLst>
        </xdr:cNvPr>
        <xdr:cNvSpPr/>
      </xdr:nvSpPr>
      <xdr:spPr>
        <a:xfrm>
          <a:off x="14518369" y="4200866"/>
          <a:ext cx="457200" cy="140368"/>
        </a:xfrm>
        <a:prstGeom prst="rect">
          <a:avLst/>
        </a:prstGeom>
        <a:solidFill>
          <a:schemeClr val="bg1">
            <a:lumMod val="75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44823</xdr:colOff>
      <xdr:row>11</xdr:row>
      <xdr:rowOff>22412</xdr:rowOff>
    </xdr:from>
    <xdr:to>
      <xdr:col>30</xdr:col>
      <xdr:colOff>11205</xdr:colOff>
      <xdr:row>28</xdr:row>
      <xdr:rowOff>156882</xdr:rowOff>
    </xdr:to>
    <xdr:graphicFrame macro="">
      <xdr:nvGraphicFramePr>
        <xdr:cNvPr id="4" name="Chart 3">
          <a:extLst>
            <a:ext uri="{FF2B5EF4-FFF2-40B4-BE49-F238E27FC236}">
              <a16:creationId xmlns:a16="http://schemas.microsoft.com/office/drawing/2014/main" id="{8593F97F-B233-DECC-6892-8EF1CDFE23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46</xdr:col>
      <xdr:colOff>106586</xdr:colOff>
      <xdr:row>35</xdr:row>
      <xdr:rowOff>22922</xdr:rowOff>
    </xdr:from>
    <xdr:to>
      <xdr:col>49</xdr:col>
      <xdr:colOff>94245</xdr:colOff>
      <xdr:row>35</xdr:row>
      <xdr:rowOff>163290</xdr:rowOff>
    </xdr:to>
    <xdr:sp macro="" textlink="">
      <xdr:nvSpPr>
        <xdr:cNvPr id="5" name="Rectangle 4">
          <a:extLst>
            <a:ext uri="{FF2B5EF4-FFF2-40B4-BE49-F238E27FC236}">
              <a16:creationId xmlns:a16="http://schemas.microsoft.com/office/drawing/2014/main" id="{27035B1E-4170-4880-81C0-1A47A227B18A}"/>
            </a:ext>
          </a:extLst>
        </xdr:cNvPr>
        <xdr:cNvSpPr/>
      </xdr:nvSpPr>
      <xdr:spPr>
        <a:xfrm>
          <a:off x="9427948" y="6696991"/>
          <a:ext cx="637987" cy="140368"/>
        </a:xfrm>
        <a:prstGeom prst="rect">
          <a:avLst/>
        </a:prstGeom>
        <a:solidFill>
          <a:schemeClr val="tx1">
            <a:lumMod val="65000"/>
            <a:lumOff val="3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65</xdr:col>
      <xdr:colOff>159742</xdr:colOff>
      <xdr:row>23</xdr:row>
      <xdr:rowOff>7368</xdr:rowOff>
    </xdr:from>
    <xdr:to>
      <xdr:col>67</xdr:col>
      <xdr:colOff>175328</xdr:colOff>
      <xdr:row>23</xdr:row>
      <xdr:rowOff>147736</xdr:rowOff>
    </xdr:to>
    <xdr:sp macro="" textlink="">
      <xdr:nvSpPr>
        <xdr:cNvPr id="2" name="Rectangle 1">
          <a:extLst>
            <a:ext uri="{FF2B5EF4-FFF2-40B4-BE49-F238E27FC236}">
              <a16:creationId xmlns:a16="http://schemas.microsoft.com/office/drawing/2014/main" id="{84047668-019B-4771-AD29-F979952BE97B}"/>
            </a:ext>
          </a:extLst>
        </xdr:cNvPr>
        <xdr:cNvSpPr/>
      </xdr:nvSpPr>
      <xdr:spPr>
        <a:xfrm>
          <a:off x="14512185" y="4397527"/>
          <a:ext cx="457200" cy="140368"/>
        </a:xfrm>
        <a:prstGeom prst="rect">
          <a:avLst/>
        </a:prstGeom>
        <a:solidFill>
          <a:schemeClr val="tx1">
            <a:lumMod val="65000"/>
            <a:lumOff val="3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64</xdr:col>
      <xdr:colOff>219074</xdr:colOff>
      <xdr:row>28</xdr:row>
      <xdr:rowOff>190499</xdr:rowOff>
    </xdr:from>
    <xdr:to>
      <xdr:col>106</xdr:col>
      <xdr:colOff>0</xdr:colOff>
      <xdr:row>55</xdr:row>
      <xdr:rowOff>9524</xdr:rowOff>
    </xdr:to>
    <xdr:graphicFrame macro="">
      <xdr:nvGraphicFramePr>
        <xdr:cNvPr id="15" name="Chart 14">
          <a:extLst>
            <a:ext uri="{FF2B5EF4-FFF2-40B4-BE49-F238E27FC236}">
              <a16:creationId xmlns:a16="http://schemas.microsoft.com/office/drawing/2014/main" id="{5A3CFA23-2DBB-4372-88E7-F87D70A77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IS Pies">
      <a:dk1>
        <a:sysClr val="windowText" lastClr="000000"/>
      </a:dk1>
      <a:lt1>
        <a:sysClr val="window" lastClr="FFFFFF"/>
      </a:lt1>
      <a:dk2>
        <a:srgbClr val="44546A"/>
      </a:dk2>
      <a:lt2>
        <a:srgbClr val="E7E6E6"/>
      </a:lt2>
      <a:accent1>
        <a:srgbClr val="BFBFBF"/>
      </a:accent1>
      <a:accent2>
        <a:srgbClr val="EE0000"/>
      </a:accent2>
      <a:accent3>
        <a:srgbClr val="FFC000"/>
      </a:accent3>
      <a:accent4>
        <a:srgbClr val="FFFF00"/>
      </a:accent4>
      <a:accent5>
        <a:srgbClr val="92D050"/>
      </a:accent5>
      <a:accent6>
        <a:srgbClr val="75707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stateoforegon-eis-css/Oregon-CIS-Assessments/blob/main/Artifact-Request.md" TargetMode="External"/><Relationship Id="rId18" Type="http://schemas.openxmlformats.org/officeDocument/2006/relationships/hyperlink" Target="https://github.com/stateoforegon-eis-css/Oregon-CIS-Assessments/blob/main/Artifact-Request.md" TargetMode="External"/><Relationship Id="rId26" Type="http://schemas.openxmlformats.org/officeDocument/2006/relationships/hyperlink" Target="https://github.com/stateoforegon-eis-css/Oregon-CIS-Assessments/blob/main/Artifact-Request.md" TargetMode="External"/><Relationship Id="rId3" Type="http://schemas.openxmlformats.org/officeDocument/2006/relationships/hyperlink" Target="https://github.com/stateoforegon-eis-css/Oregon-CIS-Assessments/blob/main/Artifact-Request.md" TargetMode="External"/><Relationship Id="rId21" Type="http://schemas.openxmlformats.org/officeDocument/2006/relationships/hyperlink" Target="https://github.com/stateoforegon-eis-css/Oregon-CIS-Assessments/blob/main/Artifact-Request.md" TargetMode="External"/><Relationship Id="rId34" Type="http://schemas.openxmlformats.org/officeDocument/2006/relationships/hyperlink" Target="https://github.com/stateoforegon-eis-css/Oregon-CIS-Assessments/blob/main/Artifact-Request.md" TargetMode="External"/><Relationship Id="rId7" Type="http://schemas.openxmlformats.org/officeDocument/2006/relationships/hyperlink" Target="https://github.com/stateoforegon-eis-css/Oregon-CIS-Assessments/blob/main/Artifact-Request.md" TargetMode="External"/><Relationship Id="rId12" Type="http://schemas.openxmlformats.org/officeDocument/2006/relationships/hyperlink" Target="https://github.com/stateoforegon-eis-css/Oregon-CIS-Assessments/blob/main/Artifact-Request.md" TargetMode="External"/><Relationship Id="rId17" Type="http://schemas.openxmlformats.org/officeDocument/2006/relationships/hyperlink" Target="https://github.com/stateoforegon-eis-css/Oregon-CIS-Assessments/blob/main/Artifact-Request.md" TargetMode="External"/><Relationship Id="rId25" Type="http://schemas.openxmlformats.org/officeDocument/2006/relationships/hyperlink" Target="https://github.com/stateoforegon-eis-css/Oregon-CIS-Assessments/blob/main/Artifact-Request.md" TargetMode="External"/><Relationship Id="rId33" Type="http://schemas.openxmlformats.org/officeDocument/2006/relationships/hyperlink" Target="https://github.com/stateoforegon-eis-css/Oregon-CIS-Assessments/blob/main/Artifact-Request.md" TargetMode="External"/><Relationship Id="rId2" Type="http://schemas.openxmlformats.org/officeDocument/2006/relationships/hyperlink" Target="https://github.com/stateoforegon-eis-css/Oregon-CIS-Assessments/blob/main/Artifact-Request.md" TargetMode="External"/><Relationship Id="rId16" Type="http://schemas.openxmlformats.org/officeDocument/2006/relationships/hyperlink" Target="https://github.com/stateoforegon-eis-css/Oregon-CIS-Assessments/blob/main/Artifact-Request.md" TargetMode="External"/><Relationship Id="rId20" Type="http://schemas.openxmlformats.org/officeDocument/2006/relationships/hyperlink" Target="https://github.com/stateoforegon-eis-css/Oregon-CIS-Assessments/blob/main/Artifact-Request.md" TargetMode="External"/><Relationship Id="rId29" Type="http://schemas.openxmlformats.org/officeDocument/2006/relationships/hyperlink" Target="https://github.com/stateoforegon-eis-css/Oregon-CIS-Assessments/blob/main/Artifact-Request.md" TargetMode="External"/><Relationship Id="rId1" Type="http://schemas.openxmlformats.org/officeDocument/2006/relationships/hyperlink" Target="https://github.com/stateoforegon-eis-css/Oregon-CIS-Assessments/blob/main/Artifact-Request.md" TargetMode="External"/><Relationship Id="rId6" Type="http://schemas.openxmlformats.org/officeDocument/2006/relationships/hyperlink" Target="https://github.com/stateoforegon-eis-css/Oregon-CIS-Assessments/blob/main/Artifact-Request.md" TargetMode="External"/><Relationship Id="rId11" Type="http://schemas.openxmlformats.org/officeDocument/2006/relationships/hyperlink" Target="https://github.com/stateoforegon-eis-css/Oregon-CIS-Assessments/blob/main/Artifact-Request.md" TargetMode="External"/><Relationship Id="rId24" Type="http://schemas.openxmlformats.org/officeDocument/2006/relationships/hyperlink" Target="https://github.com/stateoforegon-eis-css/Oregon-CIS-Assessments/blob/main/Artifact-Request.md" TargetMode="External"/><Relationship Id="rId32" Type="http://schemas.openxmlformats.org/officeDocument/2006/relationships/hyperlink" Target="https://github.com/stateoforegon-eis-css/Oregon-CIS-Assessments/blob/main/Artifact-Request.md" TargetMode="External"/><Relationship Id="rId5" Type="http://schemas.openxmlformats.org/officeDocument/2006/relationships/hyperlink" Target="https://github.com/stateoforegon-eis-css/Oregon-CIS-Assessments/blob/main/Artifact-Request.md" TargetMode="External"/><Relationship Id="rId15" Type="http://schemas.openxmlformats.org/officeDocument/2006/relationships/hyperlink" Target="https://github.com/stateoforegon-eis-css/Oregon-CIS-Assessments/blob/main/Artifact-Request.md" TargetMode="External"/><Relationship Id="rId23" Type="http://schemas.openxmlformats.org/officeDocument/2006/relationships/hyperlink" Target="https://github.com/stateoforegon-eis-css/Oregon-CIS-Assessments/blob/main/Artifact-Request.md" TargetMode="External"/><Relationship Id="rId28" Type="http://schemas.openxmlformats.org/officeDocument/2006/relationships/hyperlink" Target="https://github.com/stateoforegon-eis-css/Oregon-CIS-Assessments/blob/main/Artifact-Request.md" TargetMode="External"/><Relationship Id="rId36" Type="http://schemas.openxmlformats.org/officeDocument/2006/relationships/hyperlink" Target="https://github.com/stateoforegon-eis-css/Oregon-CIS-Assessments/blob/main/Artifact-Request.md" TargetMode="External"/><Relationship Id="rId10" Type="http://schemas.openxmlformats.org/officeDocument/2006/relationships/hyperlink" Target="https://github.com/stateoforegon-eis-css/Oregon-CIS-Assessments/blob/main/Artifact-Request.md" TargetMode="External"/><Relationship Id="rId19" Type="http://schemas.openxmlformats.org/officeDocument/2006/relationships/hyperlink" Target="https://github.com/stateoforegon-eis-css/Oregon-CIS-Assessments/blob/main/Artifact-Request.md" TargetMode="External"/><Relationship Id="rId31" Type="http://schemas.openxmlformats.org/officeDocument/2006/relationships/hyperlink" Target="https://github.com/stateoforegon-eis-css/Oregon-CIS-Assessments/blob/main/Artifact-Request.md" TargetMode="External"/><Relationship Id="rId4" Type="http://schemas.openxmlformats.org/officeDocument/2006/relationships/hyperlink" Target="https://github.com/stateoforegon-eis-css/Oregon-CIS-Assessments/blob/main/Artifact-Request.md" TargetMode="External"/><Relationship Id="rId9" Type="http://schemas.openxmlformats.org/officeDocument/2006/relationships/hyperlink" Target="https://github.com/stateoforegon-eis-css/Oregon-CIS-Assessments/blob/main/Artifact-Request.md" TargetMode="External"/><Relationship Id="rId14" Type="http://schemas.openxmlformats.org/officeDocument/2006/relationships/hyperlink" Target="https://github.com/stateoforegon-eis-css/Oregon-CIS-Assessments/blob/main/Artifact-Request.md" TargetMode="External"/><Relationship Id="rId22" Type="http://schemas.openxmlformats.org/officeDocument/2006/relationships/hyperlink" Target="https://github.com/stateoforegon-eis-css/Oregon-CIS-Assessments/blob/main/Artifact-Request.md" TargetMode="External"/><Relationship Id="rId27" Type="http://schemas.openxmlformats.org/officeDocument/2006/relationships/hyperlink" Target="https://github.com/stateoforegon-eis-css/Oregon-CIS-Assessments/blob/main/Artifact-Request.md" TargetMode="External"/><Relationship Id="rId30" Type="http://schemas.openxmlformats.org/officeDocument/2006/relationships/hyperlink" Target="https://github.com/stateoforegon-eis-css/Oregon-CIS-Assessments/blob/main/Artifact-Request.md" TargetMode="External"/><Relationship Id="rId35" Type="http://schemas.openxmlformats.org/officeDocument/2006/relationships/hyperlink" Target="https://github.com/stateoforegon-eis-css/Oregon-CIS-Assessments/blob/main/Artifact-Request.md" TargetMode="External"/><Relationship Id="rId8" Type="http://schemas.openxmlformats.org/officeDocument/2006/relationships/hyperlink" Target="https://github.com/stateoforegon-eis-css/Oregon-CIS-Assessments/blob/main/Artifact-Request.m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cas.docs.cisecurity.org/en/latest/source/Controls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as.docs.cisecurity.org/en/latest/source/Controls2/"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cas.docs.cisecurity.org/en/latest/source/Controls3/"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cas.docs.cisecurity.org/en/latest/source/Controls4/"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cas.docs.cisecurity.org/en/latest/source/Controls5/"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as.docs.cisecurity.org/en/latest/source/Controls6/"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cas.docs.cisecurity.org/en/latest/source/Controls7/"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cas.docs.cisecurity.org/en/latest/source/Controls8/"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cas.docs.cisecurity.org/en/latest/source/Controls9/"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as.docs.cisecurity.org/en/latest/source/Controls1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cas.docs.cisecurity.org/en/latest/source/Controls1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as.docs.cisecurity.org/en/latest/source/Controls12/"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cas.docs.cisecurity.org/en/latest/source/Controls1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cas.docs.cisecurity.org/en/latest/source/Controls14/"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cas.docs.cisecurity.org/en/latest/source/Controls15/"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cas.docs.cisecurity.org/en/latest/source/Controls16/"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cas.docs.cisecurity.org/en/latest/source/Controls17/"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as.docs.cisecurity.org/en/latest/source/Controls18/"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A7096-383D-43E2-9A9E-D17CB76D31A9}">
  <sheetPr codeName="Sheet23"/>
  <dimension ref="B2:C165"/>
  <sheetViews>
    <sheetView tabSelected="1" workbookViewId="0">
      <selection activeCell="C50" sqref="C50"/>
    </sheetView>
  </sheetViews>
  <sheetFormatPr defaultColWidth="9.140625" defaultRowHeight="15" x14ac:dyDescent="0.25"/>
  <cols>
    <col min="1" max="1" width="8.7109375" style="133" customWidth="1"/>
    <col min="2" max="2" width="10.7109375" style="133" customWidth="1"/>
    <col min="3" max="3" width="120.7109375" style="138" customWidth="1"/>
    <col min="4" max="16384" width="9.140625" style="133"/>
  </cols>
  <sheetData>
    <row r="2" spans="2:3" x14ac:dyDescent="0.25">
      <c r="C2" s="156" t="s">
        <v>0</v>
      </c>
    </row>
    <row r="3" spans="2:3" ht="75" x14ac:dyDescent="0.25">
      <c r="C3" s="157" t="s">
        <v>1</v>
      </c>
    </row>
    <row r="5" spans="2:3" ht="45" x14ac:dyDescent="0.25">
      <c r="C5" s="157" t="s">
        <v>2210</v>
      </c>
    </row>
    <row r="7" spans="2:3" ht="75" x14ac:dyDescent="0.25">
      <c r="C7" s="157" t="s">
        <v>2</v>
      </c>
    </row>
    <row r="9" spans="2:3" x14ac:dyDescent="0.25">
      <c r="B9" s="209" t="s">
        <v>3</v>
      </c>
      <c r="C9" s="209"/>
    </row>
    <row r="10" spans="2:3" x14ac:dyDescent="0.25">
      <c r="B10" s="134">
        <v>1.01</v>
      </c>
      <c r="C10" s="139" t="s">
        <v>4</v>
      </c>
    </row>
    <row r="11" spans="2:3" x14ac:dyDescent="0.25">
      <c r="B11" s="134">
        <v>1.02</v>
      </c>
      <c r="C11" s="139" t="s">
        <v>5</v>
      </c>
    </row>
    <row r="12" spans="2:3" x14ac:dyDescent="0.25">
      <c r="B12" s="134">
        <v>1.03</v>
      </c>
      <c r="C12" s="139" t="s">
        <v>2091</v>
      </c>
    </row>
    <row r="13" spans="2:3" x14ac:dyDescent="0.25">
      <c r="B13" s="134">
        <v>1.04</v>
      </c>
      <c r="C13" s="139" t="s">
        <v>6</v>
      </c>
    </row>
    <row r="14" spans="2:3" x14ac:dyDescent="0.25">
      <c r="B14" s="134">
        <v>1.05</v>
      </c>
      <c r="C14" s="139" t="s">
        <v>6</v>
      </c>
    </row>
    <row r="15" spans="2:3" x14ac:dyDescent="0.25">
      <c r="B15" s="134">
        <v>2.0099999999999998</v>
      </c>
      <c r="C15" s="139" t="s">
        <v>7</v>
      </c>
    </row>
    <row r="16" spans="2:3" x14ac:dyDescent="0.25">
      <c r="B16" s="134">
        <v>2.02</v>
      </c>
      <c r="C16" s="139" t="s">
        <v>6</v>
      </c>
    </row>
    <row r="17" spans="2:3" x14ac:dyDescent="0.25">
      <c r="B17" s="134">
        <v>2.0299999999999998</v>
      </c>
      <c r="C17" s="139" t="s">
        <v>5</v>
      </c>
    </row>
    <row r="18" spans="2:3" x14ac:dyDescent="0.25">
      <c r="B18" s="134">
        <v>2.04</v>
      </c>
      <c r="C18" s="139" t="s">
        <v>6</v>
      </c>
    </row>
    <row r="19" spans="2:3" x14ac:dyDescent="0.25">
      <c r="B19" s="134">
        <v>2.0499999999999998</v>
      </c>
      <c r="C19" s="139" t="s">
        <v>6</v>
      </c>
    </row>
    <row r="20" spans="2:3" x14ac:dyDescent="0.25">
      <c r="B20" s="134">
        <v>2.06</v>
      </c>
      <c r="C20" s="139" t="s">
        <v>6</v>
      </c>
    </row>
    <row r="21" spans="2:3" x14ac:dyDescent="0.25">
      <c r="B21" s="134">
        <v>2.0699999999999998</v>
      </c>
      <c r="C21" s="139" t="s">
        <v>6</v>
      </c>
    </row>
    <row r="22" spans="2:3" x14ac:dyDescent="0.25">
      <c r="B22" s="134">
        <v>3.01</v>
      </c>
      <c r="C22" s="139" t="s">
        <v>6</v>
      </c>
    </row>
    <row r="23" spans="2:3" x14ac:dyDescent="0.25">
      <c r="B23" s="134">
        <v>3.02</v>
      </c>
      <c r="C23" s="139" t="s">
        <v>6</v>
      </c>
    </row>
    <row r="24" spans="2:3" x14ac:dyDescent="0.25">
      <c r="B24" s="134">
        <v>3.03</v>
      </c>
      <c r="C24" s="139" t="s">
        <v>6</v>
      </c>
    </row>
    <row r="25" spans="2:3" x14ac:dyDescent="0.25">
      <c r="B25" s="134">
        <v>3.04</v>
      </c>
      <c r="C25" s="139" t="s">
        <v>6</v>
      </c>
    </row>
    <row r="26" spans="2:3" x14ac:dyDescent="0.25">
      <c r="B26" s="134">
        <v>3.05</v>
      </c>
      <c r="C26" s="139" t="s">
        <v>6</v>
      </c>
    </row>
    <row r="27" spans="2:3" x14ac:dyDescent="0.25">
      <c r="B27" s="134">
        <v>3.06</v>
      </c>
      <c r="C27" s="139" t="s">
        <v>8</v>
      </c>
    </row>
    <row r="28" spans="2:3" x14ac:dyDescent="0.25">
      <c r="B28" s="134">
        <v>3.07</v>
      </c>
      <c r="C28" s="139" t="s">
        <v>6</v>
      </c>
    </row>
    <row r="29" spans="2:3" x14ac:dyDescent="0.25">
      <c r="B29" s="134">
        <v>3.08</v>
      </c>
      <c r="C29" s="139" t="s">
        <v>6</v>
      </c>
    </row>
    <row r="30" spans="2:3" x14ac:dyDescent="0.25">
      <c r="B30" s="134">
        <v>3.09</v>
      </c>
      <c r="C30" s="139" t="s">
        <v>6</v>
      </c>
    </row>
    <row r="31" spans="2:3" x14ac:dyDescent="0.25">
      <c r="B31" s="134">
        <v>3.1</v>
      </c>
      <c r="C31" s="139" t="s">
        <v>6</v>
      </c>
    </row>
    <row r="32" spans="2:3" x14ac:dyDescent="0.25">
      <c r="B32" s="134">
        <v>3.11</v>
      </c>
      <c r="C32" s="139" t="s">
        <v>6</v>
      </c>
    </row>
    <row r="33" spans="2:3" x14ac:dyDescent="0.25">
      <c r="B33" s="134">
        <v>3.12</v>
      </c>
      <c r="C33" s="139" t="s">
        <v>6</v>
      </c>
    </row>
    <row r="34" spans="2:3" x14ac:dyDescent="0.25">
      <c r="B34" s="134">
        <v>3.13</v>
      </c>
      <c r="C34" s="139" t="s">
        <v>6</v>
      </c>
    </row>
    <row r="35" spans="2:3" x14ac:dyDescent="0.25">
      <c r="B35" s="134">
        <v>3.14</v>
      </c>
      <c r="C35" s="139" t="s">
        <v>6</v>
      </c>
    </row>
    <row r="36" spans="2:3" x14ac:dyDescent="0.25">
      <c r="B36" s="134">
        <v>4.01</v>
      </c>
      <c r="C36" s="139" t="s">
        <v>2208</v>
      </c>
    </row>
    <row r="37" spans="2:3" x14ac:dyDescent="0.25">
      <c r="B37" s="134">
        <v>4.0199999999999996</v>
      </c>
      <c r="C37" s="139" t="s">
        <v>2208</v>
      </c>
    </row>
    <row r="38" spans="2:3" x14ac:dyDescent="0.25">
      <c r="B38" s="134">
        <v>4.03</v>
      </c>
      <c r="C38" s="139" t="s">
        <v>6</v>
      </c>
    </row>
    <row r="39" spans="2:3" x14ac:dyDescent="0.25">
      <c r="B39" s="134">
        <v>4.04</v>
      </c>
      <c r="C39" s="139" t="s">
        <v>6</v>
      </c>
    </row>
    <row r="40" spans="2:3" x14ac:dyDescent="0.25">
      <c r="B40" s="134">
        <v>4.05</v>
      </c>
      <c r="C40" s="139" t="s">
        <v>9</v>
      </c>
    </row>
    <row r="41" spans="2:3" x14ac:dyDescent="0.25">
      <c r="B41" s="134">
        <v>4.0599999999999996</v>
      </c>
      <c r="C41" s="139" t="s">
        <v>6</v>
      </c>
    </row>
    <row r="42" spans="2:3" x14ac:dyDescent="0.25">
      <c r="B42" s="134">
        <v>4.07</v>
      </c>
      <c r="C42" s="139" t="s">
        <v>6</v>
      </c>
    </row>
    <row r="43" spans="2:3" x14ac:dyDescent="0.25">
      <c r="B43" s="134">
        <v>4.08</v>
      </c>
      <c r="C43" s="139" t="s">
        <v>6</v>
      </c>
    </row>
    <row r="44" spans="2:3" x14ac:dyDescent="0.25">
      <c r="B44" s="134">
        <v>4.09</v>
      </c>
      <c r="C44" s="139" t="s">
        <v>6</v>
      </c>
    </row>
    <row r="45" spans="2:3" x14ac:dyDescent="0.25">
      <c r="B45" s="134">
        <v>4.0999999999999996</v>
      </c>
      <c r="C45" s="139" t="s">
        <v>6</v>
      </c>
    </row>
    <row r="46" spans="2:3" x14ac:dyDescent="0.25">
      <c r="B46" s="134">
        <v>4.1100000000000003</v>
      </c>
      <c r="C46" s="139" t="s">
        <v>6</v>
      </c>
    </row>
    <row r="47" spans="2:3" x14ac:dyDescent="0.25">
      <c r="B47" s="134">
        <v>4.12</v>
      </c>
      <c r="C47" s="139" t="s">
        <v>6</v>
      </c>
    </row>
    <row r="48" spans="2:3" x14ac:dyDescent="0.25">
      <c r="B48" s="134">
        <v>5.01</v>
      </c>
      <c r="C48" s="139" t="s">
        <v>10</v>
      </c>
    </row>
    <row r="49" spans="2:3" x14ac:dyDescent="0.25">
      <c r="B49" s="134">
        <v>5.0199999999999996</v>
      </c>
      <c r="C49" s="139" t="s">
        <v>11</v>
      </c>
    </row>
    <row r="50" spans="2:3" x14ac:dyDescent="0.25">
      <c r="B50" s="134">
        <v>5.03</v>
      </c>
      <c r="C50" s="139" t="s">
        <v>2162</v>
      </c>
    </row>
    <row r="51" spans="2:3" x14ac:dyDescent="0.25">
      <c r="B51" s="134">
        <v>5.04</v>
      </c>
      <c r="C51" s="139" t="s">
        <v>6</v>
      </c>
    </row>
    <row r="52" spans="2:3" x14ac:dyDescent="0.25">
      <c r="B52" s="134">
        <v>5.05</v>
      </c>
      <c r="C52" s="139" t="s">
        <v>10</v>
      </c>
    </row>
    <row r="53" spans="2:3" x14ac:dyDescent="0.25">
      <c r="B53" s="134">
        <v>5.0599999999999996</v>
      </c>
      <c r="C53" s="139" t="s">
        <v>6</v>
      </c>
    </row>
    <row r="54" spans="2:3" x14ac:dyDescent="0.25">
      <c r="B54" s="134">
        <v>6.01</v>
      </c>
      <c r="C54" s="139" t="s">
        <v>6</v>
      </c>
    </row>
    <row r="55" spans="2:3" x14ac:dyDescent="0.25">
      <c r="B55" s="134">
        <v>6.02</v>
      </c>
      <c r="C55" s="139" t="s">
        <v>6</v>
      </c>
    </row>
    <row r="56" spans="2:3" x14ac:dyDescent="0.25">
      <c r="B56" s="134">
        <v>6.03</v>
      </c>
      <c r="C56" s="139" t="s">
        <v>6</v>
      </c>
    </row>
    <row r="57" spans="2:3" x14ac:dyDescent="0.25">
      <c r="B57" s="134">
        <v>6.04</v>
      </c>
      <c r="C57" s="139" t="s">
        <v>6</v>
      </c>
    </row>
    <row r="58" spans="2:3" x14ac:dyDescent="0.25">
      <c r="B58" s="134">
        <v>6.05</v>
      </c>
      <c r="C58" s="139" t="s">
        <v>6</v>
      </c>
    </row>
    <row r="59" spans="2:3" x14ac:dyDescent="0.25">
      <c r="B59" s="134">
        <v>6.06</v>
      </c>
      <c r="C59" s="139" t="s">
        <v>6</v>
      </c>
    </row>
    <row r="60" spans="2:3" x14ac:dyDescent="0.25">
      <c r="B60" s="134">
        <v>6.07</v>
      </c>
      <c r="C60" s="139" t="s">
        <v>6</v>
      </c>
    </row>
    <row r="61" spans="2:3" x14ac:dyDescent="0.25">
      <c r="B61" s="134">
        <v>6.08</v>
      </c>
      <c r="C61" s="139" t="s">
        <v>6</v>
      </c>
    </row>
    <row r="62" spans="2:3" x14ac:dyDescent="0.25">
      <c r="B62" s="134">
        <v>7.01</v>
      </c>
      <c r="C62" s="139" t="s">
        <v>2203</v>
      </c>
    </row>
    <row r="63" spans="2:3" x14ac:dyDescent="0.25">
      <c r="B63" s="134">
        <v>7.02</v>
      </c>
      <c r="C63" s="139" t="s">
        <v>2203</v>
      </c>
    </row>
    <row r="64" spans="2:3" ht="45" x14ac:dyDescent="0.25">
      <c r="B64" s="134">
        <v>7.03</v>
      </c>
      <c r="C64" s="139" t="s">
        <v>2204</v>
      </c>
    </row>
    <row r="65" spans="2:3" ht="45" x14ac:dyDescent="0.25">
      <c r="B65" s="134">
        <v>7.04</v>
      </c>
      <c r="C65" s="139" t="s">
        <v>2205</v>
      </c>
    </row>
    <row r="66" spans="2:3" ht="45" x14ac:dyDescent="0.25">
      <c r="B66" s="134">
        <v>7.05</v>
      </c>
      <c r="C66" s="139" t="s">
        <v>2206</v>
      </c>
    </row>
    <row r="67" spans="2:3" ht="30" x14ac:dyDescent="0.25">
      <c r="B67" s="134">
        <v>7.06</v>
      </c>
      <c r="C67" s="139" t="s">
        <v>2207</v>
      </c>
    </row>
    <row r="68" spans="2:3" x14ac:dyDescent="0.25">
      <c r="B68" s="134">
        <v>7.07</v>
      </c>
      <c r="C68" s="139" t="s">
        <v>6</v>
      </c>
    </row>
    <row r="69" spans="2:3" x14ac:dyDescent="0.25">
      <c r="B69" s="134">
        <v>8.01</v>
      </c>
      <c r="C69" s="139" t="s">
        <v>6</v>
      </c>
    </row>
    <row r="70" spans="2:3" x14ac:dyDescent="0.25">
      <c r="B70" s="134">
        <v>8.02</v>
      </c>
      <c r="C70" s="139" t="s">
        <v>12</v>
      </c>
    </row>
    <row r="71" spans="2:3" x14ac:dyDescent="0.25">
      <c r="B71" s="134">
        <v>8.0299999999999994</v>
      </c>
      <c r="C71" s="139" t="s">
        <v>12</v>
      </c>
    </row>
    <row r="72" spans="2:3" x14ac:dyDescent="0.25">
      <c r="B72" s="134">
        <v>8.0399999999999991</v>
      </c>
      <c r="C72" s="139" t="s">
        <v>12</v>
      </c>
    </row>
    <row r="73" spans="2:3" x14ac:dyDescent="0.25">
      <c r="B73" s="134">
        <v>8.0500000000000007</v>
      </c>
      <c r="C73" s="139" t="s">
        <v>12</v>
      </c>
    </row>
    <row r="74" spans="2:3" x14ac:dyDescent="0.25">
      <c r="B74" s="134">
        <v>8.06</v>
      </c>
      <c r="C74" s="139" t="s">
        <v>6</v>
      </c>
    </row>
    <row r="75" spans="2:3" x14ac:dyDescent="0.25">
      <c r="B75" s="134">
        <v>8.07</v>
      </c>
      <c r="C75" s="139" t="s">
        <v>12</v>
      </c>
    </row>
    <row r="76" spans="2:3" x14ac:dyDescent="0.25">
      <c r="B76" s="134">
        <v>8.08</v>
      </c>
      <c r="C76" s="139" t="s">
        <v>12</v>
      </c>
    </row>
    <row r="77" spans="2:3" x14ac:dyDescent="0.25">
      <c r="B77" s="134">
        <v>8.09</v>
      </c>
      <c r="C77" s="139" t="s">
        <v>12</v>
      </c>
    </row>
    <row r="78" spans="2:3" x14ac:dyDescent="0.25">
      <c r="B78" s="134">
        <v>8.1</v>
      </c>
      <c r="C78" s="139" t="s">
        <v>6</v>
      </c>
    </row>
    <row r="79" spans="2:3" x14ac:dyDescent="0.25">
      <c r="B79" s="134">
        <v>8.11</v>
      </c>
      <c r="C79" s="139" t="s">
        <v>6</v>
      </c>
    </row>
    <row r="80" spans="2:3" x14ac:dyDescent="0.25">
      <c r="B80" s="134">
        <v>8.1199999999999992</v>
      </c>
      <c r="C80" s="139" t="s">
        <v>12</v>
      </c>
    </row>
    <row r="81" spans="2:3" x14ac:dyDescent="0.25">
      <c r="B81" s="134">
        <v>9.01</v>
      </c>
      <c r="C81" s="139" t="s">
        <v>6</v>
      </c>
    </row>
    <row r="82" spans="2:3" x14ac:dyDescent="0.25">
      <c r="B82" s="134">
        <v>9.02</v>
      </c>
      <c r="C82" s="139" t="s">
        <v>6</v>
      </c>
    </row>
    <row r="83" spans="2:3" x14ac:dyDescent="0.25">
      <c r="B83" s="134">
        <v>9.0299999999999994</v>
      </c>
      <c r="C83" s="139" t="s">
        <v>6</v>
      </c>
    </row>
    <row r="84" spans="2:3" x14ac:dyDescent="0.25">
      <c r="B84" s="134">
        <v>9.0399999999999991</v>
      </c>
      <c r="C84" s="139" t="s">
        <v>6</v>
      </c>
    </row>
    <row r="85" spans="2:3" x14ac:dyDescent="0.25">
      <c r="B85" s="134">
        <v>9.0500000000000007</v>
      </c>
      <c r="C85" s="139" t="s">
        <v>6</v>
      </c>
    </row>
    <row r="86" spans="2:3" x14ac:dyDescent="0.25">
      <c r="B86" s="134">
        <v>9.06</v>
      </c>
      <c r="C86" s="139" t="s">
        <v>6</v>
      </c>
    </row>
    <row r="87" spans="2:3" x14ac:dyDescent="0.25">
      <c r="B87" s="134">
        <v>9.07</v>
      </c>
      <c r="C87" s="139" t="s">
        <v>6</v>
      </c>
    </row>
    <row r="88" spans="2:3" x14ac:dyDescent="0.25">
      <c r="B88" s="134">
        <v>10.01</v>
      </c>
      <c r="C88" s="139" t="s">
        <v>6</v>
      </c>
    </row>
    <row r="89" spans="2:3" x14ac:dyDescent="0.25">
      <c r="B89" s="134">
        <v>10.02</v>
      </c>
      <c r="C89" s="139" t="s">
        <v>6</v>
      </c>
    </row>
    <row r="90" spans="2:3" x14ac:dyDescent="0.25">
      <c r="B90" s="134">
        <v>10.029999999999999</v>
      </c>
      <c r="C90" s="139" t="s">
        <v>6</v>
      </c>
    </row>
    <row r="91" spans="2:3" x14ac:dyDescent="0.25">
      <c r="B91" s="134">
        <v>10.039999999999999</v>
      </c>
      <c r="C91" s="139" t="s">
        <v>6</v>
      </c>
    </row>
    <row r="92" spans="2:3" x14ac:dyDescent="0.25">
      <c r="B92" s="134">
        <v>10.050000000000001</v>
      </c>
      <c r="C92" s="139" t="s">
        <v>6</v>
      </c>
    </row>
    <row r="93" spans="2:3" x14ac:dyDescent="0.25">
      <c r="B93" s="134">
        <v>10.06</v>
      </c>
      <c r="C93" s="139" t="s">
        <v>6</v>
      </c>
    </row>
    <row r="94" spans="2:3" x14ac:dyDescent="0.25">
      <c r="B94" s="134">
        <v>10.07</v>
      </c>
      <c r="C94" s="139" t="s">
        <v>6</v>
      </c>
    </row>
    <row r="95" spans="2:3" x14ac:dyDescent="0.25">
      <c r="B95" s="134">
        <v>11.01</v>
      </c>
      <c r="C95" s="139" t="s">
        <v>2209</v>
      </c>
    </row>
    <row r="96" spans="2:3" x14ac:dyDescent="0.25">
      <c r="B96" s="134">
        <v>11.02</v>
      </c>
      <c r="C96" s="139" t="s">
        <v>6</v>
      </c>
    </row>
    <row r="97" spans="2:3" x14ac:dyDescent="0.25">
      <c r="B97" s="134">
        <v>11.03</v>
      </c>
      <c r="C97" s="139" t="s">
        <v>6</v>
      </c>
    </row>
    <row r="98" spans="2:3" x14ac:dyDescent="0.25">
      <c r="B98" s="134">
        <v>11.04</v>
      </c>
      <c r="C98" s="139" t="s">
        <v>6</v>
      </c>
    </row>
    <row r="99" spans="2:3" x14ac:dyDescent="0.25">
      <c r="B99" s="134">
        <v>11.05</v>
      </c>
      <c r="C99" s="139" t="s">
        <v>6</v>
      </c>
    </row>
    <row r="100" spans="2:3" x14ac:dyDescent="0.25">
      <c r="B100" s="134">
        <v>12.01</v>
      </c>
      <c r="C100" s="139" t="s">
        <v>6</v>
      </c>
    </row>
    <row r="101" spans="2:3" x14ac:dyDescent="0.25">
      <c r="B101" s="134">
        <v>12.02</v>
      </c>
      <c r="C101" s="139" t="s">
        <v>6</v>
      </c>
    </row>
    <row r="102" spans="2:3" x14ac:dyDescent="0.25">
      <c r="B102" s="134">
        <v>12.03</v>
      </c>
      <c r="C102" s="139" t="s">
        <v>6</v>
      </c>
    </row>
    <row r="103" spans="2:3" x14ac:dyDescent="0.25">
      <c r="B103" s="134">
        <v>12.04</v>
      </c>
      <c r="C103" s="139" t="s">
        <v>6</v>
      </c>
    </row>
    <row r="104" spans="2:3" x14ac:dyDescent="0.25">
      <c r="B104" s="134">
        <v>12.05</v>
      </c>
      <c r="C104" s="139" t="s">
        <v>6</v>
      </c>
    </row>
    <row r="105" spans="2:3" x14ac:dyDescent="0.25">
      <c r="B105" s="134">
        <v>12.06</v>
      </c>
      <c r="C105" s="139" t="s">
        <v>6</v>
      </c>
    </row>
    <row r="106" spans="2:3" x14ac:dyDescent="0.25">
      <c r="B106" s="134">
        <v>12.07</v>
      </c>
      <c r="C106" s="139" t="s">
        <v>6</v>
      </c>
    </row>
    <row r="107" spans="2:3" x14ac:dyDescent="0.25">
      <c r="B107" s="134">
        <v>12.08</v>
      </c>
      <c r="C107" s="139" t="s">
        <v>6</v>
      </c>
    </row>
    <row r="108" spans="2:3" x14ac:dyDescent="0.25">
      <c r="B108" s="134">
        <v>13.01</v>
      </c>
      <c r="C108" s="139" t="s">
        <v>6</v>
      </c>
    </row>
    <row r="109" spans="2:3" x14ac:dyDescent="0.25">
      <c r="B109" s="134">
        <v>13.02</v>
      </c>
      <c r="C109" s="139" t="s">
        <v>6</v>
      </c>
    </row>
    <row r="110" spans="2:3" x14ac:dyDescent="0.25">
      <c r="B110" s="134">
        <v>13.03</v>
      </c>
      <c r="C110" s="139" t="s">
        <v>6</v>
      </c>
    </row>
    <row r="111" spans="2:3" x14ac:dyDescent="0.25">
      <c r="B111" s="134">
        <v>13.04</v>
      </c>
      <c r="C111" s="139" t="s">
        <v>6</v>
      </c>
    </row>
    <row r="112" spans="2:3" x14ac:dyDescent="0.25">
      <c r="B112" s="134">
        <v>13.05</v>
      </c>
      <c r="C112" s="139" t="s">
        <v>6</v>
      </c>
    </row>
    <row r="113" spans="2:3" x14ac:dyDescent="0.25">
      <c r="B113" s="134">
        <v>13.06</v>
      </c>
      <c r="C113" s="139" t="s">
        <v>6</v>
      </c>
    </row>
    <row r="114" spans="2:3" x14ac:dyDescent="0.25">
      <c r="B114" s="134">
        <v>13.07</v>
      </c>
      <c r="C114" s="139" t="s">
        <v>6</v>
      </c>
    </row>
    <row r="115" spans="2:3" x14ac:dyDescent="0.25">
      <c r="B115" s="134">
        <v>13.08</v>
      </c>
      <c r="C115" s="139" t="s">
        <v>6</v>
      </c>
    </row>
    <row r="116" spans="2:3" x14ac:dyDescent="0.25">
      <c r="B116" s="134">
        <v>13.09</v>
      </c>
      <c r="C116" s="139" t="s">
        <v>6</v>
      </c>
    </row>
    <row r="117" spans="2:3" x14ac:dyDescent="0.25">
      <c r="B117" s="134">
        <v>13.1</v>
      </c>
      <c r="C117" s="139" t="s">
        <v>6</v>
      </c>
    </row>
    <row r="118" spans="2:3" x14ac:dyDescent="0.25">
      <c r="B118" s="134">
        <v>13.11</v>
      </c>
      <c r="C118" s="139" t="s">
        <v>6</v>
      </c>
    </row>
    <row r="119" spans="2:3" x14ac:dyDescent="0.25">
      <c r="B119" s="134">
        <v>14.01</v>
      </c>
      <c r="C119" s="139" t="s">
        <v>2209</v>
      </c>
    </row>
    <row r="120" spans="2:3" x14ac:dyDescent="0.25">
      <c r="B120" s="134">
        <v>14.02</v>
      </c>
      <c r="C120" s="139" t="s">
        <v>6</v>
      </c>
    </row>
    <row r="121" spans="2:3" x14ac:dyDescent="0.25">
      <c r="B121" s="134">
        <v>14.03</v>
      </c>
      <c r="C121" s="139" t="s">
        <v>6</v>
      </c>
    </row>
    <row r="122" spans="2:3" x14ac:dyDescent="0.25">
      <c r="B122" s="134">
        <v>14.04</v>
      </c>
      <c r="C122" s="139" t="s">
        <v>6</v>
      </c>
    </row>
    <row r="123" spans="2:3" x14ac:dyDescent="0.25">
      <c r="B123" s="134">
        <v>14.05</v>
      </c>
      <c r="C123" s="139" t="s">
        <v>6</v>
      </c>
    </row>
    <row r="124" spans="2:3" x14ac:dyDescent="0.25">
      <c r="B124" s="134">
        <v>14.06</v>
      </c>
      <c r="C124" s="139" t="s">
        <v>6</v>
      </c>
    </row>
    <row r="125" spans="2:3" x14ac:dyDescent="0.25">
      <c r="B125" s="134">
        <v>14.07</v>
      </c>
      <c r="C125" s="139" t="s">
        <v>6</v>
      </c>
    </row>
    <row r="126" spans="2:3" x14ac:dyDescent="0.25">
      <c r="B126" s="134">
        <v>14.08</v>
      </c>
      <c r="C126" s="139" t="s">
        <v>6</v>
      </c>
    </row>
    <row r="127" spans="2:3" x14ac:dyDescent="0.25">
      <c r="B127" s="134">
        <v>14.09</v>
      </c>
      <c r="C127" s="139" t="s">
        <v>6</v>
      </c>
    </row>
    <row r="128" spans="2:3" x14ac:dyDescent="0.25">
      <c r="B128" s="134">
        <v>15.01</v>
      </c>
      <c r="C128" s="139" t="s">
        <v>2209</v>
      </c>
    </row>
    <row r="129" spans="2:3" x14ac:dyDescent="0.25">
      <c r="B129" s="134">
        <v>15.02</v>
      </c>
      <c r="C129" s="139" t="s">
        <v>6</v>
      </c>
    </row>
    <row r="130" spans="2:3" x14ac:dyDescent="0.25">
      <c r="B130" s="134">
        <v>15.03</v>
      </c>
      <c r="C130" s="139" t="s">
        <v>2209</v>
      </c>
    </row>
    <row r="131" spans="2:3" x14ac:dyDescent="0.25">
      <c r="B131" s="134">
        <v>15.04</v>
      </c>
      <c r="C131" s="139" t="s">
        <v>6</v>
      </c>
    </row>
    <row r="132" spans="2:3" x14ac:dyDescent="0.25">
      <c r="B132" s="134">
        <v>15.05</v>
      </c>
      <c r="C132" s="139" t="s">
        <v>6</v>
      </c>
    </row>
    <row r="133" spans="2:3" x14ac:dyDescent="0.25">
      <c r="B133" s="134">
        <v>15.06</v>
      </c>
      <c r="C133" s="139" t="s">
        <v>6</v>
      </c>
    </row>
    <row r="134" spans="2:3" x14ac:dyDescent="0.25">
      <c r="B134" s="134">
        <v>15.07</v>
      </c>
      <c r="C134" s="139" t="s">
        <v>6</v>
      </c>
    </row>
    <row r="135" spans="2:3" x14ac:dyDescent="0.25">
      <c r="B135" s="134">
        <v>16.010000000000002</v>
      </c>
      <c r="C135" s="139" t="s">
        <v>2209</v>
      </c>
    </row>
    <row r="136" spans="2:3" x14ac:dyDescent="0.25">
      <c r="B136" s="134">
        <v>16.02</v>
      </c>
      <c r="C136" s="139" t="s">
        <v>2209</v>
      </c>
    </row>
    <row r="137" spans="2:3" x14ac:dyDescent="0.25">
      <c r="B137" s="134">
        <v>16.03</v>
      </c>
      <c r="C137" s="139" t="s">
        <v>6</v>
      </c>
    </row>
    <row r="138" spans="2:3" x14ac:dyDescent="0.25">
      <c r="B138" s="134">
        <v>16.04</v>
      </c>
      <c r="C138" s="139" t="s">
        <v>6</v>
      </c>
    </row>
    <row r="139" spans="2:3" x14ac:dyDescent="0.25">
      <c r="B139" s="134">
        <v>16.05</v>
      </c>
      <c r="C139" s="139" t="s">
        <v>6</v>
      </c>
    </row>
    <row r="140" spans="2:3" x14ac:dyDescent="0.25">
      <c r="B140" s="134">
        <v>16.059999999999999</v>
      </c>
      <c r="C140" s="139" t="s">
        <v>6</v>
      </c>
    </row>
    <row r="141" spans="2:3" x14ac:dyDescent="0.25">
      <c r="B141" s="134">
        <v>16.07</v>
      </c>
      <c r="C141" s="139" t="s">
        <v>6</v>
      </c>
    </row>
    <row r="142" spans="2:3" x14ac:dyDescent="0.25">
      <c r="B142" s="134">
        <v>16.079999999999998</v>
      </c>
      <c r="C142" s="139" t="s">
        <v>6</v>
      </c>
    </row>
    <row r="143" spans="2:3" x14ac:dyDescent="0.25">
      <c r="B143" s="134">
        <v>16.09</v>
      </c>
      <c r="C143" s="139" t="s">
        <v>6</v>
      </c>
    </row>
    <row r="144" spans="2:3" x14ac:dyDescent="0.25">
      <c r="B144" s="134">
        <v>16.100000000000001</v>
      </c>
      <c r="C144" s="139" t="s">
        <v>6</v>
      </c>
    </row>
    <row r="145" spans="2:3" x14ac:dyDescent="0.25">
      <c r="B145" s="134">
        <v>16.11</v>
      </c>
      <c r="C145" s="139" t="s">
        <v>13</v>
      </c>
    </row>
    <row r="146" spans="2:3" x14ac:dyDescent="0.25">
      <c r="B146" s="134">
        <v>16.12</v>
      </c>
      <c r="C146" s="139" t="s">
        <v>6</v>
      </c>
    </row>
    <row r="147" spans="2:3" x14ac:dyDescent="0.25">
      <c r="B147" s="134">
        <v>16.13</v>
      </c>
      <c r="C147" s="139" t="s">
        <v>6</v>
      </c>
    </row>
    <row r="148" spans="2:3" x14ac:dyDescent="0.25">
      <c r="B148" s="134">
        <v>16.14</v>
      </c>
      <c r="C148" s="139" t="s">
        <v>6</v>
      </c>
    </row>
    <row r="149" spans="2:3" x14ac:dyDescent="0.25">
      <c r="B149" s="134">
        <v>17.010000000000002</v>
      </c>
      <c r="C149" s="139" t="s">
        <v>2209</v>
      </c>
    </row>
    <row r="150" spans="2:3" x14ac:dyDescent="0.25">
      <c r="B150" s="134">
        <v>17.02</v>
      </c>
      <c r="C150" s="139" t="s">
        <v>2209</v>
      </c>
    </row>
    <row r="151" spans="2:3" x14ac:dyDescent="0.25">
      <c r="B151" s="134">
        <v>17.03</v>
      </c>
      <c r="C151" s="139" t="s">
        <v>2209</v>
      </c>
    </row>
    <row r="152" spans="2:3" x14ac:dyDescent="0.25">
      <c r="B152" s="134">
        <v>17.04</v>
      </c>
      <c r="C152" s="139" t="s">
        <v>2209</v>
      </c>
    </row>
    <row r="153" spans="2:3" x14ac:dyDescent="0.25">
      <c r="B153" s="134">
        <v>17.05</v>
      </c>
      <c r="C153" s="139" t="s">
        <v>2209</v>
      </c>
    </row>
    <row r="154" spans="2:3" x14ac:dyDescent="0.25">
      <c r="B154" s="134">
        <v>17.059999999999999</v>
      </c>
      <c r="C154" s="139" t="s">
        <v>2209</v>
      </c>
    </row>
    <row r="155" spans="2:3" x14ac:dyDescent="0.25">
      <c r="B155" s="134">
        <v>17.07</v>
      </c>
      <c r="C155" s="139" t="s">
        <v>6</v>
      </c>
    </row>
    <row r="156" spans="2:3" x14ac:dyDescent="0.25">
      <c r="B156" s="134">
        <v>17.079999999999998</v>
      </c>
      <c r="C156" s="139" t="s">
        <v>6</v>
      </c>
    </row>
    <row r="157" spans="2:3" x14ac:dyDescent="0.25">
      <c r="B157" s="134">
        <v>17.09</v>
      </c>
      <c r="C157" s="139" t="s">
        <v>2209</v>
      </c>
    </row>
    <row r="158" spans="2:3" x14ac:dyDescent="0.25">
      <c r="B158" s="134">
        <v>18.010000000000002</v>
      </c>
      <c r="C158" s="139" t="s">
        <v>2209</v>
      </c>
    </row>
    <row r="159" spans="2:3" x14ac:dyDescent="0.25">
      <c r="B159" s="134">
        <v>18.02</v>
      </c>
      <c r="C159" s="139" t="s">
        <v>6</v>
      </c>
    </row>
    <row r="160" spans="2:3" x14ac:dyDescent="0.25">
      <c r="B160" s="134">
        <v>18.03</v>
      </c>
      <c r="C160" s="139" t="s">
        <v>6</v>
      </c>
    </row>
    <row r="161" spans="2:3" x14ac:dyDescent="0.25">
      <c r="B161" s="134">
        <v>18.04</v>
      </c>
      <c r="C161" s="139" t="s">
        <v>6</v>
      </c>
    </row>
    <row r="162" spans="2:3" x14ac:dyDescent="0.25">
      <c r="B162" s="134">
        <v>18.05</v>
      </c>
      <c r="C162" s="139" t="s">
        <v>6</v>
      </c>
    </row>
    <row r="165" spans="2:3" ht="30" x14ac:dyDescent="0.25">
      <c r="C165" s="157" t="s">
        <v>14</v>
      </c>
    </row>
  </sheetData>
  <sheetProtection algorithmName="SHA-512" hashValue="84kbl9/bMd3M/1lhWNeIP+zQ/WmNCrmDYjt0rX3996fqJy+W+Z/DllELwKRgySSbycOzUrQV/rq6bmLHELr+eQ==" saltValue="ZHBMR+EMzpCjwIJbMEL1bw==" spinCount="100000" sheet="1" objects="1" scenarios="1" selectLockedCells="1" selectUnlockedCells="1"/>
  <mergeCells count="1">
    <mergeCell ref="B9:C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4DA1-E8A5-4898-B860-4FC0DB3E8B86}">
  <sheetPr codeName="Sheet1"/>
  <dimension ref="B2:D14"/>
  <sheetViews>
    <sheetView zoomScale="130" zoomScaleNormal="130" workbookViewId="0">
      <selection activeCell="C2" sqref="C2"/>
    </sheetView>
  </sheetViews>
  <sheetFormatPr defaultColWidth="9.140625" defaultRowHeight="15" x14ac:dyDescent="0.25"/>
  <cols>
    <col min="1" max="1" width="4.7109375" style="112" customWidth="1"/>
    <col min="2" max="2" width="60.7109375" style="151" customWidth="1"/>
    <col min="3" max="3" width="12.7109375" style="56" customWidth="1"/>
    <col min="4" max="4" width="90.7109375" style="150" customWidth="1"/>
    <col min="5" max="16384" width="9.140625" style="112"/>
  </cols>
  <sheetData>
    <row r="2" spans="2:4" x14ac:dyDescent="0.25">
      <c r="B2" s="148" t="s">
        <v>15</v>
      </c>
      <c r="C2" s="58">
        <v>0</v>
      </c>
      <c r="D2" s="149" t="s">
        <v>16</v>
      </c>
    </row>
    <row r="4" spans="2:4" x14ac:dyDescent="0.25">
      <c r="B4" s="148" t="s">
        <v>17</v>
      </c>
      <c r="C4" s="74">
        <v>45901</v>
      </c>
    </row>
    <row r="6" spans="2:4" x14ac:dyDescent="0.25">
      <c r="B6" s="148" t="s">
        <v>18</v>
      </c>
      <c r="C6" s="130">
        <v>0.7</v>
      </c>
    </row>
    <row r="8" spans="2:4" x14ac:dyDescent="0.25">
      <c r="B8" s="148" t="s">
        <v>2057</v>
      </c>
      <c r="C8" s="131">
        <v>24</v>
      </c>
      <c r="D8" s="149" t="s">
        <v>19</v>
      </c>
    </row>
    <row r="10" spans="2:4" x14ac:dyDescent="0.25">
      <c r="B10" s="148" t="s">
        <v>2056</v>
      </c>
      <c r="C10" s="131" t="s">
        <v>20</v>
      </c>
      <c r="D10" s="149" t="s">
        <v>2060</v>
      </c>
    </row>
    <row r="12" spans="2:4" x14ac:dyDescent="0.25">
      <c r="B12" s="148" t="s">
        <v>2058</v>
      </c>
      <c r="C12" s="131" t="s">
        <v>20</v>
      </c>
      <c r="D12" s="149" t="s">
        <v>2059</v>
      </c>
    </row>
    <row r="14" spans="2:4" x14ac:dyDescent="0.25">
      <c r="B14" s="148" t="s">
        <v>2121</v>
      </c>
      <c r="C14" s="74">
        <v>45930</v>
      </c>
    </row>
  </sheetData>
  <sheetProtection algorithmName="SHA-512" hashValue="5xLJP3YObf+vcbexqJ9Q7UFb8vIRlCo7acNUI4VFFv4Y7lnZTxRA/yP+nCzrVl+a3pNsdKL2FTMZe6ElLUZ7mQ==" saltValue="u+J74t766hFJsIBQ4FnrFw==" spinCount="100000" sheet="1" selectLockedCells="1"/>
  <dataValidations count="2">
    <dataValidation type="list" allowBlank="1" showInputMessage="1" showErrorMessage="1" sqref="C2" xr:uid="{76C58D99-01CC-4169-B600-4ED57A6509F2}">
      <formula1>"1,2,3,0"</formula1>
    </dataValidation>
    <dataValidation type="list" allowBlank="1" showInputMessage="1" showErrorMessage="1" sqref="C10 C12" xr:uid="{0D49BC9A-AB2C-489A-B2A3-63B4A9C3B261}">
      <formula1>"No,Yes"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418F1-A3F3-46D5-A575-95FD0BB85BAC}">
  <dimension ref="O13:BQ36"/>
  <sheetViews>
    <sheetView showGridLines="0" topLeftCell="A20" zoomScaleNormal="100" workbookViewId="0">
      <selection activeCell="DF41" sqref="DF41"/>
    </sheetView>
  </sheetViews>
  <sheetFormatPr defaultColWidth="3.28515625" defaultRowHeight="15" x14ac:dyDescent="0.25"/>
  <sheetData>
    <row r="13" spans="15:19" x14ac:dyDescent="0.25">
      <c r="O13" s="210"/>
      <c r="P13" s="210"/>
      <c r="Q13" s="210"/>
      <c r="R13" s="210"/>
      <c r="S13" s="210"/>
    </row>
    <row r="14" spans="15:19" x14ac:dyDescent="0.25">
      <c r="O14" s="79"/>
      <c r="P14" s="79"/>
      <c r="Q14" s="79"/>
      <c r="R14" s="79"/>
      <c r="S14" s="79"/>
    </row>
    <row r="15" spans="15:19" x14ac:dyDescent="0.25">
      <c r="O15" s="79"/>
      <c r="P15" s="79"/>
      <c r="Q15" s="79"/>
      <c r="R15" s="79"/>
      <c r="S15" s="79"/>
    </row>
    <row r="16" spans="15:19" x14ac:dyDescent="0.25">
      <c r="O16" s="79"/>
      <c r="P16" s="79"/>
      <c r="Q16" s="79"/>
      <c r="R16" s="79"/>
      <c r="S16" s="79"/>
    </row>
    <row r="17" spans="15:69" ht="15" customHeight="1" x14ac:dyDescent="0.25">
      <c r="O17" s="80"/>
      <c r="P17" s="80"/>
      <c r="Q17" s="80"/>
      <c r="R17" s="80"/>
      <c r="S17" s="80"/>
    </row>
    <row r="18" spans="15:69" ht="15" customHeight="1" x14ac:dyDescent="0.25">
      <c r="O18" s="80"/>
      <c r="P18" s="80"/>
      <c r="Q18" s="80"/>
      <c r="R18" s="80"/>
      <c r="S18" s="80"/>
    </row>
    <row r="19" spans="15:69" ht="15.75" customHeight="1" x14ac:dyDescent="0.25">
      <c r="O19" s="80"/>
      <c r="P19" s="80"/>
      <c r="Q19" s="80"/>
      <c r="R19" s="80"/>
      <c r="S19" s="80"/>
      <c r="BQ19" s="140" t="s">
        <v>21</v>
      </c>
    </row>
    <row r="20" spans="15:69" x14ac:dyDescent="0.25">
      <c r="BQ20" s="140" t="s">
        <v>22</v>
      </c>
    </row>
    <row r="21" spans="15:69" x14ac:dyDescent="0.25">
      <c r="BQ21" s="140" t="s">
        <v>23</v>
      </c>
    </row>
    <row r="22" spans="15:69" x14ac:dyDescent="0.25">
      <c r="BQ22" s="140" t="s">
        <v>24</v>
      </c>
    </row>
    <row r="23" spans="15:69" x14ac:dyDescent="0.25">
      <c r="BQ23" s="140" t="s">
        <v>25</v>
      </c>
    </row>
    <row r="24" spans="15:69" x14ac:dyDescent="0.25">
      <c r="BQ24" s="140" t="s">
        <v>26</v>
      </c>
    </row>
    <row r="31" spans="15:69" x14ac:dyDescent="0.25">
      <c r="AY31" s="98" t="s">
        <v>21</v>
      </c>
    </row>
    <row r="32" spans="15:69" x14ac:dyDescent="0.25">
      <c r="P32" s="81"/>
      <c r="AY32" s="98" t="s">
        <v>22</v>
      </c>
    </row>
    <row r="33" spans="51:51" x14ac:dyDescent="0.25">
      <c r="AY33" s="98" t="s">
        <v>23</v>
      </c>
    </row>
    <row r="34" spans="51:51" x14ac:dyDescent="0.25">
      <c r="AY34" s="98" t="s">
        <v>24</v>
      </c>
    </row>
    <row r="35" spans="51:51" x14ac:dyDescent="0.25">
      <c r="AY35" s="98" t="s">
        <v>25</v>
      </c>
    </row>
    <row r="36" spans="51:51" x14ac:dyDescent="0.25">
      <c r="AY36" s="98" t="s">
        <v>26</v>
      </c>
    </row>
  </sheetData>
  <sheetProtection algorithmName="SHA-512" hashValue="8181L62xVg8SEgYImCvsxHoOP59/+FIHOV+tcIgCouDm7K04hjQZWhS7FSeDG8vYlHse5co1afi3ekyLL/yMNA==" saltValue="zOCjCav16k7zvS3cDbiPxg==" spinCount="100000" sheet="1" objects="1" scenarios="1" selectLockedCells="1" selectUnlockedCells="1"/>
  <mergeCells count="1">
    <mergeCell ref="O13:S13"/>
  </mergeCells>
  <pageMargins left="0.25" right="0.25"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89075-F580-4A0F-B82C-B86F95CA7DCC}">
  <sheetPr codeName="Sheet2"/>
  <dimension ref="A2:F84"/>
  <sheetViews>
    <sheetView topLeftCell="D1" workbookViewId="0">
      <selection activeCell="D23" sqref="D23"/>
    </sheetView>
  </sheetViews>
  <sheetFormatPr defaultColWidth="9.140625" defaultRowHeight="15" x14ac:dyDescent="0.25"/>
  <cols>
    <col min="1" max="2" width="4.7109375" style="127" customWidth="1"/>
    <col min="3" max="3" width="11" style="2" bestFit="1" customWidth="1"/>
    <col min="4" max="4" width="116.85546875" style="1" bestFit="1" customWidth="1"/>
    <col min="5" max="5" width="20.7109375" style="2" customWidth="1"/>
    <col min="6" max="6" width="22.7109375" style="2" customWidth="1"/>
    <col min="7" max="16384" width="9.140625" style="1"/>
  </cols>
  <sheetData>
    <row r="2" spans="1:6" ht="16.5" thickBot="1" x14ac:dyDescent="0.3">
      <c r="C2" s="3" t="s">
        <v>27</v>
      </c>
      <c r="D2" s="22" t="s">
        <v>28</v>
      </c>
      <c r="E2" s="3" t="s">
        <v>29</v>
      </c>
      <c r="F2" s="3" t="s">
        <v>30</v>
      </c>
    </row>
    <row r="3" spans="1:6" ht="15" customHeight="1" x14ac:dyDescent="0.25">
      <c r="A3" s="127">
        <v>0</v>
      </c>
      <c r="C3" s="69" t="s">
        <v>31</v>
      </c>
      <c r="D3" s="205" t="s">
        <v>32</v>
      </c>
      <c r="E3" s="23" t="s">
        <v>33</v>
      </c>
      <c r="F3" s="24">
        <v>1</v>
      </c>
    </row>
    <row r="4" spans="1:6" ht="15" customHeight="1" x14ac:dyDescent="0.25">
      <c r="A4" s="127">
        <v>0</v>
      </c>
      <c r="C4" s="70" t="s">
        <v>34</v>
      </c>
      <c r="D4" s="206" t="s">
        <v>35</v>
      </c>
      <c r="E4" s="23" t="s">
        <v>33</v>
      </c>
      <c r="F4" s="24">
        <v>1</v>
      </c>
    </row>
    <row r="5" spans="1:6" ht="15" customHeight="1" x14ac:dyDescent="0.25">
      <c r="A5" s="127">
        <v>0</v>
      </c>
      <c r="C5" s="70" t="s">
        <v>36</v>
      </c>
      <c r="D5" s="206" t="s">
        <v>37</v>
      </c>
      <c r="E5" s="23" t="s">
        <v>33</v>
      </c>
      <c r="F5" s="24">
        <v>1</v>
      </c>
    </row>
    <row r="6" spans="1:6" ht="15" customHeight="1" x14ac:dyDescent="0.25">
      <c r="A6" s="127">
        <v>0</v>
      </c>
      <c r="C6" s="70" t="s">
        <v>38</v>
      </c>
      <c r="D6" s="206" t="s">
        <v>39</v>
      </c>
      <c r="E6" s="23" t="s">
        <v>33</v>
      </c>
      <c r="F6" s="24">
        <v>1</v>
      </c>
    </row>
    <row r="7" spans="1:6" ht="15" customHeight="1" x14ac:dyDescent="0.25">
      <c r="A7" s="127">
        <v>0</v>
      </c>
      <c r="C7" s="70" t="s">
        <v>40</v>
      </c>
      <c r="D7" s="206" t="s">
        <v>41</v>
      </c>
      <c r="E7" s="23" t="s">
        <v>33</v>
      </c>
      <c r="F7" s="24">
        <v>1</v>
      </c>
    </row>
    <row r="8" spans="1:6" ht="15" customHeight="1" x14ac:dyDescent="0.25">
      <c r="A8" s="127">
        <v>0</v>
      </c>
      <c r="C8" s="70" t="s">
        <v>42</v>
      </c>
      <c r="D8" s="206" t="s">
        <v>43</v>
      </c>
      <c r="E8" s="23" t="s">
        <v>33</v>
      </c>
      <c r="F8" s="24">
        <v>1</v>
      </c>
    </row>
    <row r="9" spans="1:6" ht="15" customHeight="1" x14ac:dyDescent="0.25">
      <c r="A9" s="127">
        <v>0</v>
      </c>
      <c r="C9" s="70" t="s">
        <v>44</v>
      </c>
      <c r="D9" s="206" t="s">
        <v>45</v>
      </c>
      <c r="E9" s="23" t="s">
        <v>33</v>
      </c>
      <c r="F9" s="24">
        <v>1</v>
      </c>
    </row>
    <row r="10" spans="1:6" ht="15" customHeight="1" x14ac:dyDescent="0.25">
      <c r="A10" s="127">
        <v>0</v>
      </c>
      <c r="C10" s="70" t="s">
        <v>46</v>
      </c>
      <c r="D10" s="206" t="s">
        <v>47</v>
      </c>
      <c r="E10" s="23" t="s">
        <v>33</v>
      </c>
      <c r="F10" s="24">
        <v>1</v>
      </c>
    </row>
    <row r="11" spans="1:6" ht="15" customHeight="1" x14ac:dyDescent="0.25">
      <c r="A11" s="127">
        <v>0</v>
      </c>
      <c r="C11" s="70" t="s">
        <v>48</v>
      </c>
      <c r="D11" s="206" t="s">
        <v>49</v>
      </c>
      <c r="E11" s="23" t="s">
        <v>33</v>
      </c>
      <c r="F11" s="24">
        <v>1</v>
      </c>
    </row>
    <row r="12" spans="1:6" ht="15" customHeight="1" x14ac:dyDescent="0.25">
      <c r="C12" s="70" t="s">
        <v>50</v>
      </c>
      <c r="D12" s="71" t="s">
        <v>51</v>
      </c>
      <c r="E12" s="23" t="s">
        <v>33</v>
      </c>
      <c r="F12" s="24">
        <v>1</v>
      </c>
    </row>
    <row r="13" spans="1:6" ht="15" customHeight="1" x14ac:dyDescent="0.25">
      <c r="A13" s="127">
        <v>0</v>
      </c>
      <c r="C13" s="70" t="s">
        <v>52</v>
      </c>
      <c r="D13" s="206" t="s">
        <v>53</v>
      </c>
      <c r="E13" s="23" t="s">
        <v>33</v>
      </c>
      <c r="F13" s="24">
        <v>1</v>
      </c>
    </row>
    <row r="14" spans="1:6" ht="15" customHeight="1" x14ac:dyDescent="0.25">
      <c r="A14" s="127">
        <v>0</v>
      </c>
      <c r="C14" s="70" t="s">
        <v>54</v>
      </c>
      <c r="D14" s="71" t="s">
        <v>55</v>
      </c>
      <c r="E14" s="23" t="s">
        <v>33</v>
      </c>
      <c r="F14" s="24">
        <v>1</v>
      </c>
    </row>
    <row r="15" spans="1:6" ht="15" customHeight="1" x14ac:dyDescent="0.25">
      <c r="A15" s="127">
        <v>0</v>
      </c>
      <c r="C15" s="70" t="s">
        <v>56</v>
      </c>
      <c r="D15" s="206" t="s">
        <v>57</v>
      </c>
      <c r="E15" s="23" t="s">
        <v>33</v>
      </c>
      <c r="F15" s="24">
        <v>1</v>
      </c>
    </row>
    <row r="16" spans="1:6" ht="15" customHeight="1" x14ac:dyDescent="0.25">
      <c r="A16" s="127">
        <v>0</v>
      </c>
      <c r="C16" s="70" t="s">
        <v>58</v>
      </c>
      <c r="D16" s="206" t="s">
        <v>59</v>
      </c>
      <c r="E16" s="23" t="s">
        <v>33</v>
      </c>
      <c r="F16" s="24">
        <v>1</v>
      </c>
    </row>
    <row r="17" spans="1:6" ht="15" customHeight="1" x14ac:dyDescent="0.25">
      <c r="A17" s="127">
        <v>0</v>
      </c>
      <c r="C17" s="70" t="s">
        <v>60</v>
      </c>
      <c r="D17" s="206" t="s">
        <v>61</v>
      </c>
      <c r="E17" s="23" t="s">
        <v>33</v>
      </c>
      <c r="F17" s="24">
        <v>1</v>
      </c>
    </row>
    <row r="18" spans="1:6" ht="15" customHeight="1" x14ac:dyDescent="0.25">
      <c r="A18" s="127">
        <v>0</v>
      </c>
      <c r="C18" s="70" t="s">
        <v>62</v>
      </c>
      <c r="D18" s="206" t="s">
        <v>63</v>
      </c>
      <c r="E18" s="23" t="s">
        <v>33</v>
      </c>
      <c r="F18" s="24">
        <v>1</v>
      </c>
    </row>
    <row r="19" spans="1:6" ht="15" customHeight="1" x14ac:dyDescent="0.25">
      <c r="A19" s="127">
        <v>0</v>
      </c>
      <c r="C19" s="70" t="s">
        <v>64</v>
      </c>
      <c r="D19" s="206" t="s">
        <v>65</v>
      </c>
      <c r="E19" s="23" t="s">
        <v>33</v>
      </c>
      <c r="F19" s="24">
        <v>1</v>
      </c>
    </row>
    <row r="20" spans="1:6" ht="15" customHeight="1" x14ac:dyDescent="0.25">
      <c r="C20" s="70" t="s">
        <v>66</v>
      </c>
      <c r="D20" s="71" t="s">
        <v>67</v>
      </c>
      <c r="E20" s="23" t="s">
        <v>33</v>
      </c>
      <c r="F20" s="24">
        <v>1</v>
      </c>
    </row>
    <row r="21" spans="1:6" ht="15" customHeight="1" x14ac:dyDescent="0.25">
      <c r="A21" s="127">
        <v>0</v>
      </c>
      <c r="C21" s="70" t="s">
        <v>68</v>
      </c>
      <c r="D21" s="206" t="s">
        <v>69</v>
      </c>
      <c r="E21" s="23" t="s">
        <v>33</v>
      </c>
      <c r="F21" s="24">
        <v>1</v>
      </c>
    </row>
    <row r="22" spans="1:6" ht="15" customHeight="1" x14ac:dyDescent="0.25">
      <c r="A22" s="127">
        <v>0</v>
      </c>
      <c r="C22" s="70" t="s">
        <v>70</v>
      </c>
      <c r="D22" s="206" t="s">
        <v>71</v>
      </c>
      <c r="E22" s="23" t="s">
        <v>33</v>
      </c>
      <c r="F22" s="24">
        <v>1</v>
      </c>
    </row>
    <row r="23" spans="1:6" ht="15" customHeight="1" x14ac:dyDescent="0.25">
      <c r="A23" s="127">
        <v>0</v>
      </c>
      <c r="C23" s="70" t="s">
        <v>72</v>
      </c>
      <c r="D23" t="s">
        <v>2168</v>
      </c>
      <c r="E23" s="23" t="s">
        <v>33</v>
      </c>
      <c r="F23" s="24">
        <v>1</v>
      </c>
    </row>
    <row r="24" spans="1:6" ht="15" customHeight="1" x14ac:dyDescent="0.25">
      <c r="A24" s="127">
        <v>0</v>
      </c>
      <c r="C24" s="70" t="s">
        <v>73</v>
      </c>
      <c r="D24" s="206" t="s">
        <v>74</v>
      </c>
      <c r="E24" s="23" t="s">
        <v>33</v>
      </c>
      <c r="F24" s="24">
        <v>1</v>
      </c>
    </row>
    <row r="25" spans="1:6" ht="15" customHeight="1" x14ac:dyDescent="0.25">
      <c r="C25" s="70" t="s">
        <v>75</v>
      </c>
      <c r="D25" s="71" t="s">
        <v>76</v>
      </c>
      <c r="E25" s="23" t="s">
        <v>33</v>
      </c>
      <c r="F25" s="24">
        <v>1</v>
      </c>
    </row>
    <row r="26" spans="1:6" ht="15" customHeight="1" x14ac:dyDescent="0.25">
      <c r="A26" s="127">
        <v>0</v>
      </c>
      <c r="C26" s="70" t="s">
        <v>77</v>
      </c>
      <c r="D26" s="206" t="s">
        <v>78</v>
      </c>
      <c r="E26" s="23" t="s">
        <v>33</v>
      </c>
      <c r="F26" s="24">
        <v>1</v>
      </c>
    </row>
    <row r="27" spans="1:6" ht="15" customHeight="1" x14ac:dyDescent="0.25">
      <c r="A27" s="127">
        <v>0</v>
      </c>
      <c r="C27" s="70" t="s">
        <v>79</v>
      </c>
      <c r="D27" s="206" t="s">
        <v>80</v>
      </c>
      <c r="E27" s="23" t="s">
        <v>33</v>
      </c>
      <c r="F27" s="24">
        <v>1</v>
      </c>
    </row>
    <row r="28" spans="1:6" ht="15" customHeight="1" x14ac:dyDescent="0.25">
      <c r="C28" s="70" t="s">
        <v>81</v>
      </c>
      <c r="D28" s="71" t="s">
        <v>82</v>
      </c>
      <c r="E28" s="23" t="s">
        <v>33</v>
      </c>
      <c r="F28" s="24">
        <v>1</v>
      </c>
    </row>
    <row r="29" spans="1:6" ht="15" customHeight="1" x14ac:dyDescent="0.25">
      <c r="C29" s="70" t="s">
        <v>83</v>
      </c>
      <c r="D29" s="71" t="s">
        <v>84</v>
      </c>
      <c r="E29" s="23" t="s">
        <v>33</v>
      </c>
      <c r="F29" s="24">
        <v>1</v>
      </c>
    </row>
    <row r="30" spans="1:6" ht="15" customHeight="1" x14ac:dyDescent="0.25">
      <c r="C30" s="70" t="s">
        <v>85</v>
      </c>
      <c r="D30" s="71" t="s">
        <v>86</v>
      </c>
      <c r="E30" s="23" t="s">
        <v>33</v>
      </c>
      <c r="F30" s="24">
        <v>1</v>
      </c>
    </row>
    <row r="31" spans="1:6" ht="15" customHeight="1" x14ac:dyDescent="0.25">
      <c r="C31" s="70" t="s">
        <v>87</v>
      </c>
      <c r="D31" s="71" t="s">
        <v>88</v>
      </c>
      <c r="E31" s="23" t="s">
        <v>33</v>
      </c>
      <c r="F31" s="24">
        <v>1</v>
      </c>
    </row>
    <row r="32" spans="1:6" ht="15" customHeight="1" x14ac:dyDescent="0.25">
      <c r="A32" s="127">
        <v>0</v>
      </c>
      <c r="C32" s="70" t="s">
        <v>89</v>
      </c>
      <c r="D32" s="206" t="s">
        <v>90</v>
      </c>
      <c r="E32" s="23" t="s">
        <v>33</v>
      </c>
      <c r="F32" s="24">
        <v>1</v>
      </c>
    </row>
    <row r="33" spans="1:6" ht="15" customHeight="1" x14ac:dyDescent="0.25">
      <c r="C33" s="70" t="s">
        <v>91</v>
      </c>
      <c r="D33" s="71" t="s">
        <v>92</v>
      </c>
      <c r="E33" s="23" t="s">
        <v>33</v>
      </c>
      <c r="F33" s="24">
        <v>1</v>
      </c>
    </row>
    <row r="34" spans="1:6" ht="15" customHeight="1" x14ac:dyDescent="0.25">
      <c r="A34" s="127">
        <v>9</v>
      </c>
      <c r="B34" s="127">
        <v>2</v>
      </c>
      <c r="C34" s="72" t="s">
        <v>93</v>
      </c>
      <c r="D34" s="73" t="s">
        <v>94</v>
      </c>
      <c r="E34" s="23" t="s">
        <v>33</v>
      </c>
      <c r="F34" s="24">
        <v>1</v>
      </c>
    </row>
    <row r="35" spans="1:6" ht="15" customHeight="1" x14ac:dyDescent="0.25">
      <c r="A35" s="127">
        <v>0</v>
      </c>
      <c r="C35" s="72" t="s">
        <v>95</v>
      </c>
      <c r="D35" s="207" t="s">
        <v>96</v>
      </c>
      <c r="E35" s="23" t="s">
        <v>33</v>
      </c>
      <c r="F35" s="24">
        <v>1</v>
      </c>
    </row>
    <row r="36" spans="1:6" ht="15" customHeight="1" x14ac:dyDescent="0.25">
      <c r="C36" s="72" t="s">
        <v>97</v>
      </c>
      <c r="D36" s="73" t="s">
        <v>98</v>
      </c>
      <c r="E36" s="23" t="s">
        <v>33</v>
      </c>
      <c r="F36" s="24">
        <v>1</v>
      </c>
    </row>
    <row r="37" spans="1:6" ht="15" customHeight="1" x14ac:dyDescent="0.25">
      <c r="A37" s="127">
        <v>0</v>
      </c>
      <c r="C37" s="72" t="s">
        <v>99</v>
      </c>
      <c r="D37" s="207" t="s">
        <v>100</v>
      </c>
      <c r="E37" s="23" t="s">
        <v>33</v>
      </c>
      <c r="F37" s="24">
        <v>1</v>
      </c>
    </row>
    <row r="38" spans="1:6" ht="15" customHeight="1" x14ac:dyDescent="0.25">
      <c r="A38" s="127">
        <v>0</v>
      </c>
      <c r="C38" s="72" t="s">
        <v>101</v>
      </c>
      <c r="D38" s="207" t="s">
        <v>102</v>
      </c>
      <c r="E38" s="23" t="s">
        <v>33</v>
      </c>
      <c r="F38" s="24">
        <v>1</v>
      </c>
    </row>
    <row r="39" spans="1:6" ht="15" customHeight="1" x14ac:dyDescent="0.25">
      <c r="A39" s="127">
        <v>0</v>
      </c>
      <c r="C39" s="72" t="s">
        <v>103</v>
      </c>
      <c r="D39" s="207" t="s">
        <v>104</v>
      </c>
      <c r="E39" s="23" t="s">
        <v>33</v>
      </c>
      <c r="F39" s="24">
        <v>1</v>
      </c>
    </row>
    <row r="40" spans="1:6" ht="15" customHeight="1" x14ac:dyDescent="0.25">
      <c r="A40" s="127">
        <v>0</v>
      </c>
      <c r="C40" s="72" t="s">
        <v>105</v>
      </c>
      <c r="D40" s="207" t="s">
        <v>106</v>
      </c>
      <c r="E40" s="23" t="s">
        <v>33</v>
      </c>
      <c r="F40" s="24">
        <v>1</v>
      </c>
    </row>
    <row r="41" spans="1:6" ht="15" customHeight="1" x14ac:dyDescent="0.25">
      <c r="A41" s="127">
        <v>0</v>
      </c>
      <c r="C41" s="72" t="s">
        <v>107</v>
      </c>
      <c r="D41" s="207" t="s">
        <v>108</v>
      </c>
      <c r="E41" s="23" t="s">
        <v>33</v>
      </c>
      <c r="F41" s="24">
        <v>1</v>
      </c>
    </row>
    <row r="42" spans="1:6" ht="15" customHeight="1" x14ac:dyDescent="0.25">
      <c r="A42" s="127">
        <v>0</v>
      </c>
      <c r="C42" s="72" t="s">
        <v>109</v>
      </c>
      <c r="D42" s="207" t="s">
        <v>110</v>
      </c>
      <c r="E42" s="23" t="s">
        <v>33</v>
      </c>
      <c r="F42" s="24">
        <v>1</v>
      </c>
    </row>
    <row r="43" spans="1:6" ht="15" customHeight="1" x14ac:dyDescent="0.25">
      <c r="A43" s="127">
        <v>0</v>
      </c>
      <c r="C43" s="72" t="s">
        <v>111</v>
      </c>
      <c r="D43" s="207" t="s">
        <v>112</v>
      </c>
      <c r="E43" s="23" t="s">
        <v>33</v>
      </c>
      <c r="F43" s="24">
        <v>1</v>
      </c>
    </row>
    <row r="44" spans="1:6" ht="15" customHeight="1" x14ac:dyDescent="0.25">
      <c r="A44" s="127">
        <v>0</v>
      </c>
      <c r="C44" s="72" t="s">
        <v>113</v>
      </c>
      <c r="D44" s="207" t="s">
        <v>114</v>
      </c>
      <c r="E44" s="23" t="s">
        <v>33</v>
      </c>
      <c r="F44" s="24">
        <v>1</v>
      </c>
    </row>
    <row r="45" spans="1:6" ht="15" customHeight="1" x14ac:dyDescent="0.25">
      <c r="A45" s="127">
        <v>0</v>
      </c>
      <c r="C45" s="72" t="s">
        <v>115</v>
      </c>
      <c r="D45" s="207" t="s">
        <v>116</v>
      </c>
      <c r="E45" s="23" t="s">
        <v>33</v>
      </c>
      <c r="F45" s="24">
        <v>1</v>
      </c>
    </row>
    <row r="46" spans="1:6" ht="15" customHeight="1" x14ac:dyDescent="0.25">
      <c r="A46" s="127">
        <v>0</v>
      </c>
      <c r="C46" s="72" t="s">
        <v>117</v>
      </c>
      <c r="D46" s="207" t="s">
        <v>118</v>
      </c>
      <c r="E46" s="23" t="s">
        <v>33</v>
      </c>
      <c r="F46" s="24">
        <v>1</v>
      </c>
    </row>
    <row r="47" spans="1:6" ht="15" customHeight="1" x14ac:dyDescent="0.25">
      <c r="A47" s="127">
        <v>0</v>
      </c>
      <c r="C47" s="72" t="s">
        <v>119</v>
      </c>
      <c r="D47" s="207" t="s">
        <v>120</v>
      </c>
      <c r="E47" s="23" t="s">
        <v>33</v>
      </c>
      <c r="F47" s="24">
        <v>1</v>
      </c>
    </row>
    <row r="48" spans="1:6" ht="15" customHeight="1" x14ac:dyDescent="0.25">
      <c r="A48" s="127">
        <v>0</v>
      </c>
      <c r="C48" s="72" t="s">
        <v>121</v>
      </c>
      <c r="D48" s="207" t="s">
        <v>122</v>
      </c>
      <c r="E48" s="23" t="s">
        <v>33</v>
      </c>
      <c r="F48" s="24">
        <v>1</v>
      </c>
    </row>
    <row r="49" spans="1:6" ht="15" customHeight="1" x14ac:dyDescent="0.25">
      <c r="A49" s="127">
        <v>0</v>
      </c>
      <c r="C49" s="72" t="s">
        <v>123</v>
      </c>
      <c r="D49" s="207" t="s">
        <v>2169</v>
      </c>
      <c r="E49" s="23" t="s">
        <v>33</v>
      </c>
      <c r="F49" s="24">
        <v>1</v>
      </c>
    </row>
    <row r="50" spans="1:6" ht="15" customHeight="1" x14ac:dyDescent="0.25">
      <c r="A50" s="127">
        <v>0</v>
      </c>
      <c r="C50" s="72" t="s">
        <v>124</v>
      </c>
      <c r="D50" s="207" t="s">
        <v>125</v>
      </c>
      <c r="E50" s="23" t="s">
        <v>33</v>
      </c>
      <c r="F50" s="24">
        <v>1</v>
      </c>
    </row>
    <row r="51" spans="1:6" x14ac:dyDescent="0.25">
      <c r="C51" s="20"/>
      <c r="D51" s="21"/>
    </row>
    <row r="52" spans="1:6" x14ac:dyDescent="0.25">
      <c r="C52" s="211" t="s">
        <v>2163</v>
      </c>
      <c r="D52" s="211"/>
      <c r="E52" s="211"/>
      <c r="F52" s="211"/>
    </row>
    <row r="53" spans="1:6" x14ac:dyDescent="0.25">
      <c r="C53" s="20"/>
      <c r="D53" s="21"/>
    </row>
    <row r="54" spans="1:6" x14ac:dyDescent="0.25">
      <c r="C54" s="20"/>
      <c r="D54" s="21"/>
    </row>
    <row r="55" spans="1:6" x14ac:dyDescent="0.25">
      <c r="C55" s="20"/>
      <c r="D55" s="21"/>
    </row>
    <row r="56" spans="1:6" x14ac:dyDescent="0.25">
      <c r="C56" s="20"/>
      <c r="D56" s="21"/>
    </row>
    <row r="57" spans="1:6" x14ac:dyDescent="0.25">
      <c r="C57" s="20"/>
      <c r="D57" s="21"/>
    </row>
    <row r="58" spans="1:6" x14ac:dyDescent="0.25">
      <c r="C58" s="20"/>
      <c r="D58" s="21"/>
    </row>
    <row r="59" spans="1:6" x14ac:dyDescent="0.25">
      <c r="C59" s="20"/>
      <c r="D59" s="21"/>
    </row>
    <row r="60" spans="1:6" x14ac:dyDescent="0.25">
      <c r="C60" s="20"/>
      <c r="D60" s="21"/>
    </row>
    <row r="61" spans="1:6" x14ac:dyDescent="0.25">
      <c r="C61" s="20"/>
      <c r="D61" s="21"/>
    </row>
    <row r="62" spans="1:6" x14ac:dyDescent="0.25">
      <c r="C62" s="20"/>
      <c r="D62" s="21"/>
    </row>
    <row r="63" spans="1:6" x14ac:dyDescent="0.25">
      <c r="C63" s="20"/>
      <c r="D63" s="21"/>
    </row>
    <row r="64" spans="1:6" x14ac:dyDescent="0.25">
      <c r="C64" s="20"/>
      <c r="D64" s="21"/>
    </row>
    <row r="65" spans="3:4" x14ac:dyDescent="0.25">
      <c r="C65" s="20"/>
      <c r="D65" s="21"/>
    </row>
    <row r="66" spans="3:4" x14ac:dyDescent="0.25">
      <c r="C66" s="20"/>
      <c r="D66" s="21"/>
    </row>
    <row r="67" spans="3:4" x14ac:dyDescent="0.25">
      <c r="C67" s="20"/>
      <c r="D67" s="21"/>
    </row>
    <row r="68" spans="3:4" x14ac:dyDescent="0.25">
      <c r="C68" s="20"/>
      <c r="D68" s="21"/>
    </row>
    <row r="69" spans="3:4" x14ac:dyDescent="0.25">
      <c r="C69" s="20"/>
      <c r="D69" s="21"/>
    </row>
    <row r="70" spans="3:4" x14ac:dyDescent="0.25">
      <c r="C70" s="20"/>
      <c r="D70" s="21"/>
    </row>
    <row r="71" spans="3:4" x14ac:dyDescent="0.25">
      <c r="C71" s="20"/>
      <c r="D71" s="21"/>
    </row>
    <row r="72" spans="3:4" x14ac:dyDescent="0.25">
      <c r="C72" s="20"/>
      <c r="D72" s="21"/>
    </row>
    <row r="73" spans="3:4" x14ac:dyDescent="0.25">
      <c r="C73" s="20"/>
      <c r="D73" s="21"/>
    </row>
    <row r="74" spans="3:4" x14ac:dyDescent="0.25">
      <c r="C74" s="20"/>
      <c r="D74" s="21"/>
    </row>
    <row r="75" spans="3:4" x14ac:dyDescent="0.25">
      <c r="C75" s="20"/>
      <c r="D75" s="21"/>
    </row>
    <row r="76" spans="3:4" x14ac:dyDescent="0.25">
      <c r="C76" s="20"/>
      <c r="D76" s="21"/>
    </row>
    <row r="77" spans="3:4" x14ac:dyDescent="0.25">
      <c r="C77" s="20"/>
      <c r="D77" s="21"/>
    </row>
    <row r="78" spans="3:4" x14ac:dyDescent="0.25">
      <c r="C78" s="20"/>
      <c r="D78" s="21"/>
    </row>
    <row r="79" spans="3:4" x14ac:dyDescent="0.25">
      <c r="C79" s="20"/>
      <c r="D79" s="21"/>
    </row>
    <row r="80" spans="3:4" x14ac:dyDescent="0.25">
      <c r="C80" s="20"/>
      <c r="D80" s="21"/>
    </row>
    <row r="81" spans="3:4" x14ac:dyDescent="0.25">
      <c r="C81" s="20"/>
      <c r="D81" s="21"/>
    </row>
    <row r="82" spans="3:4" x14ac:dyDescent="0.25">
      <c r="C82" s="20"/>
      <c r="D82" s="21"/>
    </row>
    <row r="83" spans="3:4" x14ac:dyDescent="0.25">
      <c r="C83" s="20"/>
      <c r="D83" s="21"/>
    </row>
    <row r="84" spans="3:4" x14ac:dyDescent="0.25">
      <c r="C84" s="20"/>
      <c r="D84" s="21"/>
    </row>
  </sheetData>
  <sheetProtection algorithmName="SHA-512" hashValue="qF+pyz4oN3NrWkY+R/dMTYZRGYPIkicY9wJwXb4tT5EdFG4t8wsfkFLO/GFgY7PcPO22c0T/+P4jtdGnCg5lbg==" saltValue="ZrTmu6I9F8pxTpheJwDhgg==" spinCount="100000" sheet="1" objects="1" scenarios="1"/>
  <mergeCells count="1">
    <mergeCell ref="C52:F52"/>
  </mergeCells>
  <dataValidations count="2">
    <dataValidation type="list" allowBlank="1" showInputMessage="1" showErrorMessage="1" sqref="E3:E50" xr:uid="{21BD646B-1938-4C89-B395-57E8F84EB6DE}">
      <formula1>"Artifact Provided,Artifact Not Provided"</formula1>
    </dataValidation>
    <dataValidation type="date" operator="greaterThanOrEqual" allowBlank="1" showInputMessage="1" showErrorMessage="1" sqref="F3:F50" xr:uid="{A68FD8DA-26D4-44BF-9070-E6E97EA265BC}">
      <formula1>1</formula1>
    </dataValidation>
  </dataValidations>
  <hyperlinks>
    <hyperlink ref="D3" r:id="rId1" location="gv01-detailed-hardware-asset-inventory" xr:uid="{56193555-D306-463E-A2E1-EC09F6BC18B2}"/>
    <hyperlink ref="D4" r:id="rId2" location="gv03a-configuration-standards-operating-systems--software" xr:uid="{A17DBA2A-6424-45B2-ACAC-1F37380285A8}"/>
    <hyperlink ref="D5" r:id="rId3" location="gv03b---configuration-standards-active-discovery-tools" xr:uid="{9FDC6720-1E4A-47F1-9A1E-FB82D37BCDE2}"/>
    <hyperlink ref="D6" r:id="rId4" location="gv03c---configuration-standards-encryption-software--mechanisms-for-end-user-devices" xr:uid="{754F8210-FA0D-46FF-B758-2FA72F654026}"/>
    <hyperlink ref="D7" r:id="rId5" location="gv03d---configuration-standards-dns-servers" xr:uid="{84D0C456-DB89-47FF-A6DD-35A4AA9D9C4E}"/>
    <hyperlink ref="D8" r:id="rId6" location="gv03e---configuration-standards-authorized-remote-access-assets" xr:uid="{C2D2AEF9-D3E0-4FAA-9F1E-DFF7D5C92981}"/>
    <hyperlink ref="D9" r:id="rId7" location="gv03f---configuration-standards-automated-patch-management-software" xr:uid="{42641F35-628E-4CAF-8510-C44C86157C7B}"/>
    <hyperlink ref="D10" r:id="rId8" location="gv03g---configuration-standards-vulnerability-scanners--scanning-software" xr:uid="{5BCA33B3-AC8D-4C0B-BD40-1489BBB5A20D}"/>
    <hyperlink ref="D11" r:id="rId9" location="gv03h---configuration-standards-mfa-mechanisms-for-admin-accounts--remote-access" xr:uid="{6EE6F916-953F-4F98-A239-EB3EA7C8BDB8}"/>
    <hyperlink ref="D13" r:id="rId10" location="gv05-authorized-software-inventory" xr:uid="{DFED119B-8AA5-4576-B694-1037D2FB2B97}"/>
    <hyperlink ref="D15" r:id="rId11" location="gv10-organizations-data-management-process" xr:uid="{44600CE3-DDA9-424F-B0C7-D181AB39445F}"/>
    <hyperlink ref="D16" r:id="rId12" location="gv12-sensitive-data-inventory" xr:uid="{F8CA5692-7A60-4A90-8EE5-095095CBC07C}"/>
    <hyperlink ref="D17" r:id="rId13" location="gv18-enterprise-assets-storing-sensitive-data" xr:uid="{1821FAA8-F656-46EA-B613-C7537457F02A}"/>
    <hyperlink ref="D18" r:id="rId14" location="gv20-unique-password-policy" xr:uid="{815A65A6-9AA5-4D33-99BA-C7ECB9E0C126}"/>
    <hyperlink ref="D19" r:id="rId15" location="gv22-inventory-of-accounts" xr:uid="{1F8BB5FD-1744-4B9D-9016-EEDCC70AB128}"/>
    <hyperlink ref="D21" r:id="rId16" location="gv24-authorized-automated-patch-management-software" xr:uid="{6DB53AA8-F43F-451B-AF1E-6F26ADDFB0CD}"/>
    <hyperlink ref="D22" r:id="rId17" location="gv25-list-of-vulnerability-scanning-software" xr:uid="{034B1D30-929C-4DA7-8C43-2D9CE03ADCC0}"/>
    <hyperlink ref="D24" r:id="rId18" location="gv31-list-of-authorized-antimalware-software" xr:uid="{B8261B6E-98E0-431C-AC65-4DDB96E4DC68}"/>
    <hyperlink ref="D26" r:id="rId19" location="gv43-list-of-workforce-members" xr:uid="{55367468-E7C6-471B-AAE2-76949818C85F}"/>
    <hyperlink ref="D27" r:id="rId20" location="gv44-service-provider-inventory-list" xr:uid="{6EA90FA0-94F8-4A97-97AD-BD1461BCF428}"/>
    <hyperlink ref="D32" r:id="rId21" location="gv51-agency-incident-response-documentation" xr:uid="{6967BB9C-F55A-4E2F-A805-C3B06A994342}"/>
    <hyperlink ref="D35" r:id="rId22" location="gv54-most-recent-external-penetration-test-report-for-the-organization" xr:uid="{8F393430-0A45-4FF8-A1A3-E803C93E1D10}"/>
    <hyperlink ref="D37" r:id="rId23" location="ad01-ip-address-management-documentation-for-the-organization" xr:uid="{FB32E693-C239-4F8B-8F74-F415F18CD720}"/>
    <hyperlink ref="D38" r:id="rId24" location="ad02-agency-policy-documentation-that-defines-the-timeframe-for-removing-unauthorized-devices" xr:uid="{5F1C916A-E50F-4E68-9BB6-5FCA594EC90A}"/>
    <hyperlink ref="D39" r:id="rId25" location="ad03-list-of-active-discovery-tools-used-by-the-organization" xr:uid="{04D09943-F994-4ED0-B3DC-F8FD106E2165}"/>
    <hyperlink ref="D40" r:id="rId26" location="ad04-exception-documentation-for-unsupported-software-that-is-necessary-for-the-fulfillment-of-the-organizations-mission" xr:uid="{115A5E3E-6198-40F8-A214-AEDBE27EF023}"/>
    <hyperlink ref="D41" r:id="rId27" location="ad05-policy-documentation-that-defines-the-timeframe-between-consecutive-active-software-discovery-scans" xr:uid="{E0D4029A-4085-483A-9F71-EF9030448957}"/>
    <hyperlink ref="D42" r:id="rId28" location="ad06-list-of-software-inventory-tools-in-use-by-the-organization" xr:uid="{CEBF6367-9DF1-4C2B-8985-EFBF8371369F}"/>
    <hyperlink ref="D43" r:id="rId29" location="ad07-process-for-granting-access-to-organization-assets" xr:uid="{37FA0FF7-4097-4FE1-B707-8A4C73BB4875}"/>
    <hyperlink ref="D44" r:id="rId30" location="ad08-process-for-revoking-access-to-organization-assets" xr:uid="{CE7A7592-B3CC-43EB-9C73-D5FBE37E65EA}"/>
    <hyperlink ref="D45" r:id="rId31" location="ad09-organization-vulnerability-management-process" xr:uid="{8500E7D8-9F08-4943-8234-0EEE8DB19258}"/>
    <hyperlink ref="D46" r:id="rId32" location="ad10-organization-vulnerability-remediation-process" xr:uid="{2A32DA3D-EB85-4983-8B5E-88273478F6F2}"/>
    <hyperlink ref="D47" r:id="rId33" location="ad11-documented-data-recovery-process-for-the-organization" xr:uid="{91F06D39-5FCD-4AF3-9092-D7442468329F}"/>
    <hyperlink ref="D48" r:id="rId34" location="ad12-agency-security-awareness-training-program-plan" xr:uid="{3E6AA7F1-2CE4-41F5-856D-71B44D418DC4}"/>
    <hyperlink ref="D50" r:id="rId35" location="ad14-security-awareness-and-training-metrics-for-the-prior-year" xr:uid="{A7949511-C90A-49E2-BD91-CF0265AFA35C}"/>
    <hyperlink ref="D49" r:id="rId36" location="ad13-agency-data-classification-scheme" xr:uid="{0CFDA2F3-5732-44E1-802F-9C08AF312AC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5100D-CFEF-4DE5-92C3-EA1DABC550C8}">
  <sheetPr codeName="Sheet3"/>
  <dimension ref="B2:W155"/>
  <sheetViews>
    <sheetView topLeftCell="H1" workbookViewId="0">
      <selection activeCell="V3" sqref="V3"/>
    </sheetView>
  </sheetViews>
  <sheetFormatPr defaultColWidth="9.140625" defaultRowHeight="15" x14ac:dyDescent="0.25"/>
  <cols>
    <col min="1" max="1" width="4.7109375" style="1" customWidth="1"/>
    <col min="2" max="2" width="5.7109375" style="1" customWidth="1"/>
    <col min="3" max="3" width="100.7109375" style="1" customWidth="1"/>
    <col min="4" max="6" width="8.7109375" style="2" customWidth="1"/>
    <col min="7" max="7" width="10.7109375" style="2" customWidth="1"/>
    <col min="8" max="8" width="8.140625" style="2" bestFit="1" customWidth="1"/>
    <col min="9" max="9" width="8" style="2" bestFit="1" customWidth="1"/>
    <col min="10" max="10" width="30.7109375" style="2" customWidth="1"/>
    <col min="11" max="11" width="7.28515625" style="1" bestFit="1" customWidth="1"/>
    <col min="12" max="12" width="10.7109375" style="1" customWidth="1"/>
    <col min="13" max="13" width="100.7109375" style="1" customWidth="1"/>
    <col min="14" max="15" width="8.7109375" style="2" customWidth="1"/>
    <col min="16" max="16" width="8.7109375" style="1" customWidth="1"/>
    <col min="17" max="21" width="9.140625" style="1"/>
    <col min="22" max="22" width="15.7109375" style="1" customWidth="1"/>
    <col min="23" max="16384" width="9.140625" style="1"/>
  </cols>
  <sheetData>
    <row r="2" spans="2:23" ht="32.25" thickBot="1" x14ac:dyDescent="0.3">
      <c r="B2" s="212" t="s">
        <v>126</v>
      </c>
      <c r="C2" s="212"/>
      <c r="D2" s="67" t="s">
        <v>127</v>
      </c>
      <c r="E2" s="67" t="s">
        <v>128</v>
      </c>
      <c r="F2" s="67" t="s">
        <v>129</v>
      </c>
      <c r="G2" s="67" t="s">
        <v>130</v>
      </c>
      <c r="H2" s="67" t="s">
        <v>131</v>
      </c>
      <c r="I2" s="67" t="s">
        <v>132</v>
      </c>
      <c r="J2" s="67"/>
      <c r="L2" s="86" t="s">
        <v>133</v>
      </c>
      <c r="M2" s="102"/>
      <c r="N2" s="153" t="s">
        <v>2081</v>
      </c>
      <c r="O2" s="86" t="s">
        <v>131</v>
      </c>
      <c r="P2" s="86" t="s">
        <v>134</v>
      </c>
      <c r="Q2" s="87" t="s">
        <v>135</v>
      </c>
      <c r="R2" s="88" t="s">
        <v>136</v>
      </c>
      <c r="S2" s="89" t="s">
        <v>137</v>
      </c>
      <c r="T2" s="90" t="s">
        <v>138</v>
      </c>
      <c r="U2" s="99" t="s">
        <v>139</v>
      </c>
      <c r="V2" s="153" t="s">
        <v>2082</v>
      </c>
      <c r="W2" s="93" t="s">
        <v>140</v>
      </c>
    </row>
    <row r="3" spans="2:23" x14ac:dyDescent="0.25">
      <c r="B3" s="4">
        <v>1.01</v>
      </c>
      <c r="C3" s="5" t="s">
        <v>141</v>
      </c>
      <c r="D3" s="6">
        <v>1</v>
      </c>
      <c r="E3" s="6">
        <v>65</v>
      </c>
      <c r="F3" s="6">
        <v>0</v>
      </c>
      <c r="G3" s="6" t="str">
        <f>IF(OR(E3&gt;10,F3&gt;5),"Critical",IF(OR(AND(E3&gt;0,E3&lt;11),AND(F3&gt;0,F3&lt;6)),"High","Medium"))</f>
        <v>Critical</v>
      </c>
      <c r="H3" s="6">
        <f>IF(OR(GlobalSettings!$C$2=0,D3&lt;=GlobalSettings!$C$2),IF(G3="Critical",5,IF(G3="High",3,(IF(G3="Medium",1,0)))),0)</f>
        <v>5</v>
      </c>
      <c r="I3" s="10">
        <f>'Control 01'!F16</f>
        <v>0</v>
      </c>
      <c r="J3" s="10" t="str">
        <f>IF(OR(GlobalSettings!$C$2=0,D3&lt;=GlobalSettings!$C$2),'Control 01'!E18,"")</f>
        <v>Safeguard Scoring Incomplete</v>
      </c>
      <c r="L3" s="103">
        <v>1</v>
      </c>
      <c r="M3" s="85" t="s">
        <v>142</v>
      </c>
      <c r="N3" s="94">
        <f>IFERROR(IF(U3=0,SUMPRODUCT(I3:I7,H3:H7)/SUM(H3:H7),"N/A"),0)</f>
        <v>0</v>
      </c>
      <c r="O3" s="91">
        <f>IF(U3=0,SUM(H3:H7),0)</f>
        <v>6</v>
      </c>
      <c r="P3" s="84">
        <f t="shared" ref="P3:P8" si="0">IF(U3=0,1-N3,0)</f>
        <v>1</v>
      </c>
      <c r="Q3" s="84">
        <f t="shared" ref="Q3:Q8" si="1">IF(U3=0,IF($N3&lt;=0.25,$N3,0),0)</f>
        <v>0</v>
      </c>
      <c r="R3" s="84">
        <f t="shared" ref="R3:R8" si="2">IF(U3=0,IF(AND($N3&gt;=0.25001,$N3&lt;=0.5),$N3,0),0)</f>
        <v>0</v>
      </c>
      <c r="S3" s="84">
        <f>IF(U3=0,IF(AND($N3&gt;=0.50001,$N3&lt;=(GlobalSettings!$C$6-0.00001)),$N3,0),0)</f>
        <v>0</v>
      </c>
      <c r="T3" s="84">
        <f>IF(U3=0,IF($N3&gt;=GlobalSettings!$C$6,$N3,0),0)</f>
        <v>0</v>
      </c>
      <c r="U3" s="101">
        <f>IF('Control 01'!$F$2="Not Assessed",1,0)</f>
        <v>0</v>
      </c>
      <c r="V3" s="92">
        <v>0.61028800000000016</v>
      </c>
      <c r="W3" s="94">
        <f>GlobalSettings!$C$6</f>
        <v>0.7</v>
      </c>
    </row>
    <row r="4" spans="2:23" x14ac:dyDescent="0.25">
      <c r="B4" s="7">
        <v>1.02</v>
      </c>
      <c r="C4" s="8" t="s">
        <v>143</v>
      </c>
      <c r="D4" s="9">
        <v>1</v>
      </c>
      <c r="E4" s="9">
        <v>0</v>
      </c>
      <c r="F4" s="9">
        <v>0</v>
      </c>
      <c r="G4" s="9" t="str">
        <f t="shared" ref="G4:G67" si="3">IF(OR(E4&gt;10,F4&gt;5),"Critical",IF(OR(AND(E4&gt;0,E4&lt;11),AND(F4&gt;0,F4&lt;6)),"High","Medium"))</f>
        <v>Medium</v>
      </c>
      <c r="H4" s="9">
        <f>IF(OR(GlobalSettings!$C$2=0,D4&lt;=GlobalSettings!$C$2),IF(G4="Critical",5,IF(G4="High",3,(IF(G4="Medium",1,0)))),0)</f>
        <v>1</v>
      </c>
      <c r="I4" s="11">
        <f>'Control 01'!F26</f>
        <v>0</v>
      </c>
      <c r="J4" s="11" t="str">
        <f>IF(OR(GlobalSettings!$C$2=0,D4&lt;=GlobalSettings!$C$2),'Control 01'!E28,"")</f>
        <v>Safeguard Scoring Incomplete</v>
      </c>
      <c r="L4" s="103">
        <v>2</v>
      </c>
      <c r="M4" s="85" t="s">
        <v>144</v>
      </c>
      <c r="N4" s="94">
        <f>IFERROR(IF(U4=0,SUMPRODUCT(I8:I14,H8:H14)/SUM(H8:H14),"N/A"),0)</f>
        <v>0</v>
      </c>
      <c r="O4" s="91">
        <f>IF(U4=0,SUM(H8:H14),0)</f>
        <v>10</v>
      </c>
      <c r="P4" s="84">
        <f t="shared" si="0"/>
        <v>1</v>
      </c>
      <c r="Q4" s="84">
        <f t="shared" si="1"/>
        <v>0</v>
      </c>
      <c r="R4" s="84">
        <f t="shared" si="2"/>
        <v>0</v>
      </c>
      <c r="S4" s="84">
        <f>IF(U4=0,IF(AND($N4&gt;=0.50001,$N4&lt;=(GlobalSettings!$C$6-0.00001)),$N4,0),0)</f>
        <v>0</v>
      </c>
      <c r="T4" s="84">
        <f>IF(U4=0,IF($N4&gt;=GlobalSettings!$C$6,$N4,0),0)</f>
        <v>0</v>
      </c>
      <c r="U4" s="101">
        <f>IF('Control 02'!$F$2="Not Assessed",1,0)</f>
        <v>0</v>
      </c>
      <c r="V4" s="92">
        <v>0.616896</v>
      </c>
      <c r="W4" s="94">
        <f>GlobalSettings!$C$6</f>
        <v>0.7</v>
      </c>
    </row>
    <row r="5" spans="2:23" x14ac:dyDescent="0.25">
      <c r="B5" s="7">
        <v>1.03</v>
      </c>
      <c r="C5" s="8" t="s">
        <v>145</v>
      </c>
      <c r="D5" s="9">
        <v>2</v>
      </c>
      <c r="E5" s="9">
        <v>0</v>
      </c>
      <c r="F5" s="9">
        <v>0</v>
      </c>
      <c r="G5" s="9" t="str">
        <f t="shared" si="3"/>
        <v>Medium</v>
      </c>
      <c r="H5" s="9">
        <f>IF(D5&lt;=GlobalSettings!$C$2,IF(G5="Critical",5,IF(G5="High",3,(IF(G5="Medium",1,0)))),0)</f>
        <v>0</v>
      </c>
      <c r="I5" s="11">
        <f>'Control 01'!F40</f>
        <v>0</v>
      </c>
      <c r="J5" s="11" t="str">
        <f>IF(D5&lt;=GlobalSettings!$C$2,'Control 01'!E56,"")</f>
        <v/>
      </c>
      <c r="L5" s="103">
        <v>3</v>
      </c>
      <c r="M5" s="85" t="s">
        <v>146</v>
      </c>
      <c r="N5" s="94">
        <f>IFERROR(IF(U5=0,SUMPRODUCT(I15:I28,H15:H28)/SUM(H15:H28),"N/A"),0)</f>
        <v>0</v>
      </c>
      <c r="O5" s="91">
        <f>IF(U5=0,SUM(H15:H28),0)</f>
        <v>12</v>
      </c>
      <c r="P5" s="84">
        <f t="shared" si="0"/>
        <v>1</v>
      </c>
      <c r="Q5" s="84">
        <f t="shared" si="1"/>
        <v>0</v>
      </c>
      <c r="R5" s="84">
        <f t="shared" si="2"/>
        <v>0</v>
      </c>
      <c r="S5" s="84">
        <f>IF(U5=0,IF(AND($N5&gt;=0.50001,$N5&lt;=(GlobalSettings!$C$6-0.00001)),$N5,0),0)</f>
        <v>0</v>
      </c>
      <c r="T5" s="84">
        <f>IF(U5=0,IF($N5&gt;=GlobalSettings!$C$6,$N5,0),0)</f>
        <v>0</v>
      </c>
      <c r="U5" s="101">
        <f>IF('Control 03'!$F$2="Not Assessed",1,0)</f>
        <v>0</v>
      </c>
      <c r="V5" s="92">
        <v>0.57430000000000003</v>
      </c>
      <c r="W5" s="94">
        <f>GlobalSettings!$C$6</f>
        <v>0.7</v>
      </c>
    </row>
    <row r="6" spans="2:23" x14ac:dyDescent="0.25">
      <c r="B6" s="7">
        <v>1.04</v>
      </c>
      <c r="C6" s="8" t="s">
        <v>147</v>
      </c>
      <c r="D6" s="9">
        <v>2</v>
      </c>
      <c r="E6" s="9">
        <v>0</v>
      </c>
      <c r="F6" s="9">
        <v>0</v>
      </c>
      <c r="G6" s="9" t="str">
        <f t="shared" si="3"/>
        <v>Medium</v>
      </c>
      <c r="H6" s="9">
        <f>IF(D6&lt;=GlobalSettings!$C$2,IF(G6="Critical",5,IF(G6="High",3,(IF(G6="Medium",1,0)))),0)</f>
        <v>0</v>
      </c>
      <c r="I6" s="11">
        <f>'Control 01'!F55</f>
        <v>0</v>
      </c>
      <c r="J6" s="11" t="str">
        <f>IF(D6&lt;=GlobalSettings!$C$2,'Control 01'!E57,"")</f>
        <v/>
      </c>
      <c r="L6" s="103">
        <v>4</v>
      </c>
      <c r="M6" s="85" t="s">
        <v>148</v>
      </c>
      <c r="N6" s="94">
        <f>IFERROR(IF(U6=0,SUMPRODUCT(I29:I40,H29:H40)/SUM(H29:H40),"N/A"),0)</f>
        <v>0</v>
      </c>
      <c r="O6" s="91">
        <f>IF(U6=0,SUM(H29:H40),0)</f>
        <v>15</v>
      </c>
      <c r="P6" s="84">
        <f t="shared" si="0"/>
        <v>1</v>
      </c>
      <c r="Q6" s="84">
        <f t="shared" si="1"/>
        <v>0</v>
      </c>
      <c r="R6" s="84">
        <f t="shared" si="2"/>
        <v>0</v>
      </c>
      <c r="S6" s="84">
        <f>IF(U6=0,IF(AND($N6&gt;=0.50001,$N6&lt;=(GlobalSettings!$C$6-0.00001)),$N6,0),0)</f>
        <v>0</v>
      </c>
      <c r="T6" s="84">
        <f>IF(U6=0,IF($N6&gt;=GlobalSettings!$C$6,$N6,0),0)</f>
        <v>0</v>
      </c>
      <c r="U6" s="101">
        <f>IF('Control 04'!$F$2="Not Assessed",1,0)</f>
        <v>0</v>
      </c>
      <c r="V6" s="92">
        <v>0.59785600000000017</v>
      </c>
      <c r="W6" s="94">
        <f>GlobalSettings!$C$6</f>
        <v>0.7</v>
      </c>
    </row>
    <row r="7" spans="2:23" x14ac:dyDescent="0.25">
      <c r="B7" s="16">
        <v>1.05</v>
      </c>
      <c r="C7" s="17" t="s">
        <v>149</v>
      </c>
      <c r="D7" s="18">
        <v>3</v>
      </c>
      <c r="E7" s="18">
        <v>0</v>
      </c>
      <c r="F7" s="18">
        <v>0</v>
      </c>
      <c r="G7" s="18" t="str">
        <f t="shared" si="3"/>
        <v>Medium</v>
      </c>
      <c r="H7" s="18">
        <f>IF(D7&lt;=GlobalSettings!$C$2,IF(G7="Critical",5,IF(G7="High",3,(IF(G7="Medium",1,0)))),0)</f>
        <v>0</v>
      </c>
      <c r="I7" s="19">
        <f>'Control 01'!F66</f>
        <v>0</v>
      </c>
      <c r="J7" s="19" t="str">
        <f>IF(D7&lt;=GlobalSettings!$C$2,'Control 01'!E68,"")</f>
        <v/>
      </c>
      <c r="L7" s="103">
        <v>5</v>
      </c>
      <c r="M7" s="85" t="s">
        <v>150</v>
      </c>
      <c r="N7" s="94">
        <f>IFERROR(IF(U7=0,SUMPRODUCT(I41:I46,H41:H46)/SUM(H41:H46),"N/A"),0)</f>
        <v>0</v>
      </c>
      <c r="O7" s="91">
        <f>IF(U7=0,SUM(H41:H46),0)</f>
        <v>16</v>
      </c>
      <c r="P7" s="84">
        <f t="shared" si="0"/>
        <v>1</v>
      </c>
      <c r="Q7" s="84">
        <f t="shared" si="1"/>
        <v>0</v>
      </c>
      <c r="R7" s="84">
        <f t="shared" si="2"/>
        <v>0</v>
      </c>
      <c r="S7" s="84">
        <f>IF(U7=0,IF(AND($N7&gt;=0.50001,$N7&lt;=(GlobalSettings!$C$6-0.00001)),$N7,0),0)</f>
        <v>0</v>
      </c>
      <c r="T7" s="84">
        <f>IF(U7=0,IF($N7&gt;=GlobalSettings!$C$6,$N7,0),0)</f>
        <v>0</v>
      </c>
      <c r="U7" s="101">
        <f>IF('Control 05'!$F$2="Not Assessed",1,0)</f>
        <v>0</v>
      </c>
      <c r="V7" s="92">
        <v>0.69809600000000005</v>
      </c>
      <c r="W7" s="94">
        <f>GlobalSettings!$C$6</f>
        <v>0.7</v>
      </c>
    </row>
    <row r="8" spans="2:23" x14ac:dyDescent="0.25">
      <c r="B8" s="12">
        <v>2.0099999999999998</v>
      </c>
      <c r="C8" s="13" t="s">
        <v>151</v>
      </c>
      <c r="D8" s="14">
        <v>1</v>
      </c>
      <c r="E8" s="14">
        <v>49</v>
      </c>
      <c r="F8" s="14">
        <v>0</v>
      </c>
      <c r="G8" s="14" t="str">
        <f t="shared" si="3"/>
        <v>Critical</v>
      </c>
      <c r="H8" s="14">
        <f>IF(OR(GlobalSettings!$C$2=0,D8&lt;=GlobalSettings!$C$2),IF(G8="Critical",5,IF(G8="High",3,(IF(G8="Medium",1,0)))),0)</f>
        <v>5</v>
      </c>
      <c r="I8" s="15">
        <f>'Control 02'!F17</f>
        <v>0</v>
      </c>
      <c r="J8" s="15" t="str">
        <f>IF(OR(GlobalSettings!$C$2=0,D8&lt;=GlobalSettings!$C$2),'Control 02'!E19,"")</f>
        <v>Safeguard Scoring Incomplete</v>
      </c>
      <c r="L8" s="103">
        <v>6</v>
      </c>
      <c r="M8" s="85" t="s">
        <v>152</v>
      </c>
      <c r="N8" s="94">
        <f>IFERROR(IF(U8=0,SUMPRODUCT(I47:I54,H47:H54)/SUM(H47:H54),"N/A"),0)</f>
        <v>0</v>
      </c>
      <c r="O8" s="91">
        <f>IF(U8=0,SUM(H47:H54),0)</f>
        <v>16</v>
      </c>
      <c r="P8" s="84">
        <f t="shared" si="0"/>
        <v>1</v>
      </c>
      <c r="Q8" s="84">
        <f t="shared" si="1"/>
        <v>0</v>
      </c>
      <c r="R8" s="84">
        <f t="shared" si="2"/>
        <v>0</v>
      </c>
      <c r="S8" s="84">
        <f>IF(U8=0,IF(AND($N8&gt;=0.50001,$N8&lt;=(GlobalSettings!$C$6-0.00001)),$N8,0),0)</f>
        <v>0</v>
      </c>
      <c r="T8" s="84">
        <f>IF(U8=0,IF($N8&gt;=GlobalSettings!$C$6,$N8,0),0)</f>
        <v>0</v>
      </c>
      <c r="U8" s="101">
        <f>IF('Control 06'!$F$2="Not Assessed",1,0)</f>
        <v>0</v>
      </c>
      <c r="V8" s="92">
        <v>0.50008000000000008</v>
      </c>
      <c r="W8" s="94">
        <f>GlobalSettings!$C$6</f>
        <v>0.7</v>
      </c>
    </row>
    <row r="9" spans="2:23" x14ac:dyDescent="0.25">
      <c r="B9" s="7">
        <v>2.02</v>
      </c>
      <c r="C9" s="8" t="s">
        <v>153</v>
      </c>
      <c r="D9" s="9">
        <v>1</v>
      </c>
      <c r="E9" s="9">
        <v>0</v>
      </c>
      <c r="F9" s="9">
        <v>0</v>
      </c>
      <c r="G9" s="9" t="str">
        <f t="shared" si="3"/>
        <v>Medium</v>
      </c>
      <c r="H9" s="9">
        <f>IF(OR(GlobalSettings!$C$2=0,D9&lt;=GlobalSettings!$C$2),IF(G9="Critical",5,IF(G9="High",3,(IF(G9="Medium",1,0)))),0)</f>
        <v>1</v>
      </c>
      <c r="I9" s="11">
        <f>'Control 02'!F34</f>
        <v>0</v>
      </c>
      <c r="J9" s="11" t="str">
        <f>IF(OR(GlobalSettings!$C$2=0,D9&lt;=GlobalSettings!$C$2),'Control 02'!E36,"")</f>
        <v>Safeguard Scoring Incomplete</v>
      </c>
      <c r="L9" s="103">
        <v>7</v>
      </c>
      <c r="M9" s="85" t="s">
        <v>154</v>
      </c>
      <c r="N9" s="94">
        <f>IFERROR(IF(U9=0,SUMPRODUCT(I55:I61,H55:H61)/SUM(H55:H61),"N/A"),0)</f>
        <v>0</v>
      </c>
      <c r="O9" s="91">
        <f>IF(U9=0,SUM(H55:H61),0)</f>
        <v>8</v>
      </c>
      <c r="P9" s="84">
        <f>IF(U9=0,1-N9,0)</f>
        <v>1</v>
      </c>
      <c r="Q9" s="84">
        <f>IF(U9=0,IF($N9&lt;=0.25,$N9,0),0)</f>
        <v>0</v>
      </c>
      <c r="R9" s="84">
        <f>IF(U9=0,IF(AND($N9&gt;=0.25001,$N9&lt;=0.5),$N9,0),0)</f>
        <v>0</v>
      </c>
      <c r="S9" s="84">
        <f>IF(U9=0,IF(AND($N9&gt;=0.50001,$N9&lt;=(GlobalSettings!$C$6-0.00001)),$N9,0),0)</f>
        <v>0</v>
      </c>
      <c r="T9" s="84">
        <f>IF(U9=0,IF($N9&gt;=GlobalSettings!$C$6,$N9,0),0)</f>
        <v>0</v>
      </c>
      <c r="U9" s="101">
        <f>IF('Control 07'!$F$2="Not Assessed",1,0)</f>
        <v>0</v>
      </c>
      <c r="V9" s="92">
        <v>0.69395200000000012</v>
      </c>
      <c r="W9" s="94">
        <f>GlobalSettings!$C$6</f>
        <v>0.7</v>
      </c>
    </row>
    <row r="10" spans="2:23" x14ac:dyDescent="0.25">
      <c r="B10" s="7">
        <v>2.0299999999999998</v>
      </c>
      <c r="C10" s="8" t="s">
        <v>155</v>
      </c>
      <c r="D10" s="9">
        <v>1</v>
      </c>
      <c r="E10" s="9">
        <v>2</v>
      </c>
      <c r="F10" s="9">
        <v>3</v>
      </c>
      <c r="G10" s="9" t="str">
        <f t="shared" si="3"/>
        <v>High</v>
      </c>
      <c r="H10" s="9">
        <f>IF(OR(GlobalSettings!$C$2=0,D10&lt;=GlobalSettings!$C$2),IF(G10="Critical",5,IF(G10="High",3,(IF(G10="Medium",1,0)))),0)</f>
        <v>3</v>
      </c>
      <c r="I10" s="11">
        <f>'Control 02'!F45</f>
        <v>0</v>
      </c>
      <c r="J10" s="11" t="str">
        <f>IF(OR(GlobalSettings!$C$2=0,D10&lt;=GlobalSettings!$C$2),'Control 02'!E47,"")</f>
        <v>Safeguard Scoring Incomplete</v>
      </c>
      <c r="L10" s="103">
        <v>8</v>
      </c>
      <c r="M10" s="85" t="s">
        <v>156</v>
      </c>
      <c r="N10" s="94">
        <f>IFERROR(IF(U10=0,SUMPRODUCT(I62:I73,H62:H73)/SUM(H62:H73),"N/A"),0)</f>
        <v>0</v>
      </c>
      <c r="O10" s="91">
        <f>IF(U10=0,SUM(H62:H73),0)</f>
        <v>18</v>
      </c>
      <c r="P10" s="84">
        <f>IF(U10=0,1-N10,0)</f>
        <v>1</v>
      </c>
      <c r="Q10" s="84">
        <f>IF(U10=0,IF($N10&lt;=0.25,$N10,0),0)</f>
        <v>0</v>
      </c>
      <c r="R10" s="84">
        <f>IF(U10=0,IF(AND($N10&gt;=0.25001,$N10&lt;=0.5),$N10,0),0)</f>
        <v>0</v>
      </c>
      <c r="S10" s="84">
        <f>IF(U10=0,IF(AND($N10&gt;=0.50001,$N10&lt;=(GlobalSettings!$C$6-0.00001)),$N10,0),0)</f>
        <v>0</v>
      </c>
      <c r="T10" s="84">
        <f>IF(U10=0,IF($N10&gt;=GlobalSettings!$C$6,$N10,0),0)</f>
        <v>0</v>
      </c>
      <c r="U10" s="101">
        <f>IF('Control 08'!$F$2="Not Assessed",1,0)</f>
        <v>0</v>
      </c>
      <c r="V10" s="92">
        <v>0.63201600000000013</v>
      </c>
      <c r="W10" s="94">
        <f>GlobalSettings!$C$6</f>
        <v>0.7</v>
      </c>
    </row>
    <row r="11" spans="2:23" x14ac:dyDescent="0.25">
      <c r="B11" s="7">
        <v>2.04</v>
      </c>
      <c r="C11" s="8" t="s">
        <v>157</v>
      </c>
      <c r="D11" s="9">
        <v>2</v>
      </c>
      <c r="E11" s="9">
        <v>0</v>
      </c>
      <c r="F11" s="9">
        <v>0</v>
      </c>
      <c r="G11" s="9" t="str">
        <f t="shared" si="3"/>
        <v>Medium</v>
      </c>
      <c r="H11" s="9">
        <f>IF(OR(GlobalSettings!$C$2=0,D11&lt;=GlobalSettings!$C$2),IF(G11="Critical",5,IF(G11="High",3,(IF(G11="Medium",1,0)))),0)</f>
        <v>1</v>
      </c>
      <c r="I11" s="11">
        <f>'Control 02'!F55</f>
        <v>0</v>
      </c>
      <c r="J11" s="11" t="str">
        <f>IF(OR(GlobalSettings!$C$2=0,D11&lt;=GlobalSettings!$C$2),'Control 02'!E57,"")</f>
        <v>Safeguard Scoring Incomplete</v>
      </c>
      <c r="L11" s="103">
        <v>9</v>
      </c>
      <c r="M11" s="85" t="s">
        <v>158</v>
      </c>
      <c r="N11" s="94">
        <f>IFERROR(IF(U11=0,SUMPRODUCT(I74:I80,H74:H80)/SUM(H74:H80),"N/A"),0)</f>
        <v>0</v>
      </c>
      <c r="O11" s="91">
        <f>IF(U11=0,SUM(H74:H80),0)</f>
        <v>2</v>
      </c>
      <c r="P11" s="84">
        <f t="shared" ref="P11:P20" si="4">IF(U11=0,1-N11,0)</f>
        <v>1</v>
      </c>
      <c r="Q11" s="84">
        <f t="shared" ref="Q11:Q20" si="5">IF(U11=0,IF($N11&lt;=0.25,$N11,0),0)</f>
        <v>0</v>
      </c>
      <c r="R11" s="84">
        <f t="shared" ref="R11:R20" si="6">IF(U11=0,IF(AND($N11&gt;=0.25001,$N11&lt;=0.5),$N11,0),0)</f>
        <v>0</v>
      </c>
      <c r="S11" s="84">
        <f>IF(U11=0,IF(AND($N11&gt;=0.50001,$N11&lt;=(GlobalSettings!$C$6-0.00001)),$N11,0),0)</f>
        <v>0</v>
      </c>
      <c r="T11" s="84">
        <f>IF(U11=0,IF($N11&gt;=GlobalSettings!$C$6,$N11,0),0)</f>
        <v>0</v>
      </c>
      <c r="U11" s="101">
        <f>IF('Control 09'!$F$2="Not Assessed",1,0)</f>
        <v>0</v>
      </c>
      <c r="V11" s="92">
        <v>0.6287680000000001</v>
      </c>
      <c r="W11" s="94">
        <f>GlobalSettings!$C$6</f>
        <v>0.7</v>
      </c>
    </row>
    <row r="12" spans="2:23" x14ac:dyDescent="0.25">
      <c r="B12" s="7">
        <v>2.0499999999999998</v>
      </c>
      <c r="C12" s="8" t="s">
        <v>159</v>
      </c>
      <c r="D12" s="9">
        <v>2</v>
      </c>
      <c r="E12" s="9">
        <v>1</v>
      </c>
      <c r="F12" s="9">
        <v>3</v>
      </c>
      <c r="G12" s="9" t="str">
        <f t="shared" si="3"/>
        <v>High</v>
      </c>
      <c r="H12" s="9">
        <f>IF(D12&lt;=GlobalSettings!$C$2,IF(G12="Critical",5,IF(G12="High",3,(IF(G12="Medium",1,0)))),0)</f>
        <v>0</v>
      </c>
      <c r="I12" s="11">
        <f>'Control 02'!F68</f>
        <v>0</v>
      </c>
      <c r="J12" s="11" t="str">
        <f>IF(D12&lt;=GlobalSettings!$C$2,'Control 02'!E70,"")</f>
        <v/>
      </c>
      <c r="L12" s="103">
        <v>10</v>
      </c>
      <c r="M12" s="85" t="s">
        <v>160</v>
      </c>
      <c r="N12" s="94">
        <f>IFERROR(IF(U12=0,SUMPRODUCT(I81:I87,H81:H87)/SUM(H81:H87),"N/A"),0)</f>
        <v>0</v>
      </c>
      <c r="O12" s="91">
        <f>IF(U12=0,SUM(H81:H87),0)</f>
        <v>7</v>
      </c>
      <c r="P12" s="84">
        <f t="shared" si="4"/>
        <v>1</v>
      </c>
      <c r="Q12" s="84">
        <f t="shared" si="5"/>
        <v>0</v>
      </c>
      <c r="R12" s="84">
        <f t="shared" si="6"/>
        <v>0</v>
      </c>
      <c r="S12" s="84">
        <f>IF(U12=0,IF(AND($N12&gt;=0.50001,$N12&lt;=(GlobalSettings!$C$6-0.00001)),$N12,0),0)</f>
        <v>0</v>
      </c>
      <c r="T12" s="84">
        <f>IF(U12=0,IF($N12&gt;=GlobalSettings!$C$6,$N12,0),0)</f>
        <v>0</v>
      </c>
      <c r="U12" s="101">
        <f>IF('Control 10'!$F$2="Not Assessed",1,0)</f>
        <v>0</v>
      </c>
      <c r="V12" s="92">
        <v>0.85904000000000014</v>
      </c>
      <c r="W12" s="94">
        <f>GlobalSettings!$C$6</f>
        <v>0.7</v>
      </c>
    </row>
    <row r="13" spans="2:23" x14ac:dyDescent="0.25">
      <c r="B13" s="7">
        <v>2.06</v>
      </c>
      <c r="C13" s="8" t="s">
        <v>161</v>
      </c>
      <c r="D13" s="9">
        <v>2</v>
      </c>
      <c r="E13" s="9">
        <v>0</v>
      </c>
      <c r="F13" s="9">
        <v>1</v>
      </c>
      <c r="G13" s="9" t="str">
        <f t="shared" si="3"/>
        <v>High</v>
      </c>
      <c r="H13" s="9">
        <f>IF(D13&lt;=GlobalSettings!$C$2,IF(G13="Critical",5,IF(G13="High",3,(IF(G13="Medium",1,0)))),0)</f>
        <v>0</v>
      </c>
      <c r="I13" s="11">
        <f>'Control 02'!F79</f>
        <v>0</v>
      </c>
      <c r="J13" s="11" t="str">
        <f>IF(D13&lt;=GlobalSettings!$C$2,'Control 02'!E81,"")</f>
        <v/>
      </c>
      <c r="L13" s="103">
        <v>11</v>
      </c>
      <c r="M13" s="85" t="s">
        <v>162</v>
      </c>
      <c r="N13" s="94">
        <f>IFERROR(IF(U13=0,SUMPRODUCT(I88:I92,H88:H92)/SUM(H88:H92),"N/A"),0)</f>
        <v>0</v>
      </c>
      <c r="O13" s="91">
        <f>IF(U13=0,SUM(H88:H92),0)</f>
        <v>8</v>
      </c>
      <c r="P13" s="84">
        <f t="shared" si="4"/>
        <v>1</v>
      </c>
      <c r="Q13" s="84">
        <f t="shared" si="5"/>
        <v>0</v>
      </c>
      <c r="R13" s="84">
        <f t="shared" si="6"/>
        <v>0</v>
      </c>
      <c r="S13" s="84">
        <f>IF(U13=0,IF(AND($N13&gt;=0.50001,$N13&lt;=(GlobalSettings!$C$6-0.00001)),$N13,0),0)</f>
        <v>0</v>
      </c>
      <c r="T13" s="84">
        <f>IF(U13=0,IF($N13&gt;=GlobalSettings!$C$6,$N13,0),0)</f>
        <v>0</v>
      </c>
      <c r="U13" s="101">
        <f>IF('Control 11'!$F$2="Not Assessed",1,0)</f>
        <v>0</v>
      </c>
      <c r="V13" s="92">
        <v>0.76249999999999996</v>
      </c>
      <c r="W13" s="94">
        <f>GlobalSettings!$C$6</f>
        <v>0.7</v>
      </c>
    </row>
    <row r="14" spans="2:23" x14ac:dyDescent="0.25">
      <c r="B14" s="16">
        <v>2.0699999999999998</v>
      </c>
      <c r="C14" s="17" t="s">
        <v>163</v>
      </c>
      <c r="D14" s="18">
        <v>3</v>
      </c>
      <c r="E14" s="18">
        <v>0</v>
      </c>
      <c r="F14" s="18">
        <v>2</v>
      </c>
      <c r="G14" s="18" t="str">
        <f t="shared" si="3"/>
        <v>High</v>
      </c>
      <c r="H14" s="18">
        <f>IF(D14&lt;=GlobalSettings!$C$2,IF(G14="Critical",5,IF(G14="High",3,(IF(G14="Medium",1,0)))),0)</f>
        <v>0</v>
      </c>
      <c r="I14" s="19">
        <f>'Control 02'!F90</f>
        <v>0</v>
      </c>
      <c r="J14" s="19" t="str">
        <f>IF(D14&lt;=GlobalSettings!$C$2,'Control 02'!E92,"")</f>
        <v/>
      </c>
      <c r="L14" s="103">
        <v>12</v>
      </c>
      <c r="M14" s="85" t="s">
        <v>164</v>
      </c>
      <c r="N14" s="94" t="str">
        <f>IFERROR(IF(U14=0,SUMPRODUCT(I93:I100,H93:H100)/SUM(H93:H100),"N/A"),0)</f>
        <v>N/A</v>
      </c>
      <c r="O14" s="91">
        <f>IF(U14=0,SUM(H93:H100),0)</f>
        <v>0</v>
      </c>
      <c r="P14" s="84">
        <f t="shared" si="4"/>
        <v>0</v>
      </c>
      <c r="Q14" s="84">
        <f t="shared" si="5"/>
        <v>0</v>
      </c>
      <c r="R14" s="84">
        <f t="shared" si="6"/>
        <v>0</v>
      </c>
      <c r="S14" s="84">
        <f>IF(U14=0,IF(AND($N14&gt;=0.50001,$N14&lt;=(GlobalSettings!$C$6-0.00001)),$N14,0),0)</f>
        <v>0</v>
      </c>
      <c r="T14" s="84">
        <f>IF(U14=0,IF($N14&gt;=GlobalSettings!$C$6,$N14,0),0)</f>
        <v>0</v>
      </c>
      <c r="U14" s="101">
        <f>IF('Control 12'!$F$2="Not Assessed",1,0)</f>
        <v>1</v>
      </c>
      <c r="V14" s="92">
        <v>0</v>
      </c>
      <c r="W14" s="94">
        <f>GlobalSettings!$C$6</f>
        <v>0.7</v>
      </c>
    </row>
    <row r="15" spans="2:23" x14ac:dyDescent="0.25">
      <c r="B15" s="12">
        <v>3.01</v>
      </c>
      <c r="C15" s="13" t="s">
        <v>165</v>
      </c>
      <c r="D15" s="14">
        <v>1</v>
      </c>
      <c r="E15" s="14">
        <v>4</v>
      </c>
      <c r="F15" s="14">
        <v>1</v>
      </c>
      <c r="G15" s="14" t="str">
        <f t="shared" si="3"/>
        <v>High</v>
      </c>
      <c r="H15" s="14">
        <f>IF(OR(GlobalSettings!$C$2=0,D15&lt;=GlobalSettings!$C$2),IF(G15="Critical",5,IF(G15="High",3,(IF(G15="Medium",1,0)))),0)</f>
        <v>3</v>
      </c>
      <c r="I15" s="15">
        <f>'Control 03'!F12</f>
        <v>0</v>
      </c>
      <c r="J15" s="15" t="str">
        <f>IF(OR(GlobalSettings!$C$2=0,D15&lt;=GlobalSettings!$C$2),'Control 03'!E14,"")</f>
        <v>Safeguard Scoring Incomplete</v>
      </c>
      <c r="L15" s="103">
        <v>13</v>
      </c>
      <c r="M15" s="85" t="s">
        <v>166</v>
      </c>
      <c r="N15" s="94">
        <f>IFERROR(IF(U15=0,SUMPRODUCT(I101:I111,H101:H111)/SUM(H101:H111),"N/A"),0)</f>
        <v>0</v>
      </c>
      <c r="O15" s="91">
        <f>IF(U15=0,SUM(H101:H111),0)</f>
        <v>6</v>
      </c>
      <c r="P15" s="84">
        <f t="shared" si="4"/>
        <v>1</v>
      </c>
      <c r="Q15" s="84">
        <f t="shared" si="5"/>
        <v>0</v>
      </c>
      <c r="R15" s="84">
        <f t="shared" si="6"/>
        <v>0</v>
      </c>
      <c r="S15" s="84">
        <f>IF(U15=0,IF(AND($N15&gt;=0.50001,$N15&lt;=(GlobalSettings!$C$6-0.00001)),$N15,0),0)</f>
        <v>0</v>
      </c>
      <c r="T15" s="84">
        <f>IF(U15=0,IF($N15&gt;=GlobalSettings!$C$6,$N15,0),0)</f>
        <v>0</v>
      </c>
      <c r="U15" s="101">
        <f>IF('Control 13'!$F$2="Not Assessed",1,0)</f>
        <v>0</v>
      </c>
      <c r="V15" s="92">
        <v>0.96600000000000019</v>
      </c>
      <c r="W15" s="94">
        <f>GlobalSettings!$C$6</f>
        <v>0.7</v>
      </c>
    </row>
    <row r="16" spans="2:23" x14ac:dyDescent="0.25">
      <c r="B16" s="7">
        <v>3.02</v>
      </c>
      <c r="C16" s="8" t="s">
        <v>167</v>
      </c>
      <c r="D16" s="9">
        <v>1</v>
      </c>
      <c r="E16" s="9">
        <v>8</v>
      </c>
      <c r="F16" s="9">
        <v>0</v>
      </c>
      <c r="G16" s="9" t="str">
        <f t="shared" si="3"/>
        <v>High</v>
      </c>
      <c r="H16" s="9">
        <f>IF(OR(GlobalSettings!$C$2=0,D16&lt;=GlobalSettings!$C$2),IF(G16="Critical",5,IF(G16="High",3,(IF(G16="Medium",1,0)))),0)</f>
        <v>3</v>
      </c>
      <c r="I16" s="11">
        <f>'Control 03'!F28</f>
        <v>0</v>
      </c>
      <c r="J16" s="11" t="str">
        <f>IF(OR(GlobalSettings!$C$2=0,D16&lt;=GlobalSettings!$C$2),'Control 03'!E30,"")</f>
        <v>Safeguard Scoring Incomplete</v>
      </c>
      <c r="L16" s="103">
        <v>14</v>
      </c>
      <c r="M16" s="85" t="s">
        <v>168</v>
      </c>
      <c r="N16" s="94">
        <f>IFERROR(IF(U16=0,SUMPRODUCT(I112:I120,H112:H120)/SUM(H112:H120),"N/A"),0)</f>
        <v>0</v>
      </c>
      <c r="O16" s="91">
        <f>IF(U16=0,SUM(H112:H120),0)</f>
        <v>11</v>
      </c>
      <c r="P16" s="84">
        <f t="shared" si="4"/>
        <v>1</v>
      </c>
      <c r="Q16" s="84">
        <f t="shared" si="5"/>
        <v>0</v>
      </c>
      <c r="R16" s="84">
        <f t="shared" si="6"/>
        <v>0</v>
      </c>
      <c r="S16" s="84">
        <f>IF(U16=0,IF(AND($N16&gt;=0.50001,$N16&lt;=(GlobalSettings!$C$6-0.00001)),$N16,0),0)</f>
        <v>0</v>
      </c>
      <c r="T16" s="84">
        <f>IF(U16=0,IF($N16&gt;=GlobalSettings!$C$6,$N16,0),0)</f>
        <v>0</v>
      </c>
      <c r="U16" s="101">
        <f>IF('Control 14'!$F$2="Not Assessed",1,0)</f>
        <v>0</v>
      </c>
      <c r="V16" s="92">
        <v>0.83832000000000018</v>
      </c>
      <c r="W16" s="94">
        <f>GlobalSettings!$C$6</f>
        <v>0.7</v>
      </c>
    </row>
    <row r="17" spans="2:23" x14ac:dyDescent="0.25">
      <c r="B17" s="7">
        <v>3.03</v>
      </c>
      <c r="C17" s="8" t="s">
        <v>169</v>
      </c>
      <c r="D17" s="9">
        <v>1</v>
      </c>
      <c r="E17" s="9">
        <v>0</v>
      </c>
      <c r="F17" s="9">
        <v>2</v>
      </c>
      <c r="G17" s="9" t="str">
        <f t="shared" si="3"/>
        <v>High</v>
      </c>
      <c r="H17" s="9">
        <f>IF(D17&lt;=GlobalSettings!$C$2,IF(G17="Critical",5,IF(G17="High",3,(IF(G17="Medium",1,0)))),0)</f>
        <v>0</v>
      </c>
      <c r="I17" s="11">
        <f>'Control 03'!F43</f>
        <v>0</v>
      </c>
      <c r="J17" s="11" t="str">
        <f>IF(D17&lt;=GlobalSettings!$C$2,'Control 03'!E45,"")</f>
        <v/>
      </c>
      <c r="L17" s="103">
        <v>15</v>
      </c>
      <c r="M17" s="85" t="s">
        <v>170</v>
      </c>
      <c r="N17" s="94">
        <f>IFERROR(IF(U17=0,SUMPRODUCT(I121:I127,H121:H127)/SUM(H121:H127),"N/A"),0)</f>
        <v>0</v>
      </c>
      <c r="O17" s="91">
        <f>IF(U17=0,SUM(H121:H127),0)</f>
        <v>3</v>
      </c>
      <c r="P17" s="84">
        <f t="shared" si="4"/>
        <v>1</v>
      </c>
      <c r="Q17" s="84">
        <f t="shared" si="5"/>
        <v>0</v>
      </c>
      <c r="R17" s="84">
        <f t="shared" si="6"/>
        <v>0</v>
      </c>
      <c r="S17" s="84">
        <f>IF(U17=0,IF(AND($N17&gt;=0.50001,$N17&lt;=(GlobalSettings!$C$6-0.00001)),$N17,0),0)</f>
        <v>0</v>
      </c>
      <c r="T17" s="84">
        <f>IF(U17=0,IF($N17&gt;=GlobalSettings!$C$6,$N17,0),0)</f>
        <v>0</v>
      </c>
      <c r="U17" s="101">
        <f>IF('Control 15'!$F$2="Not Assessed",1,0)</f>
        <v>0</v>
      </c>
      <c r="V17" s="92">
        <v>0.45830400000000004</v>
      </c>
      <c r="W17" s="94">
        <f>GlobalSettings!$C$6</f>
        <v>0.7</v>
      </c>
    </row>
    <row r="18" spans="2:23" x14ac:dyDescent="0.25">
      <c r="B18" s="7">
        <v>3.04</v>
      </c>
      <c r="C18" s="8" t="s">
        <v>171</v>
      </c>
      <c r="D18" s="9">
        <v>1</v>
      </c>
      <c r="E18" s="9">
        <v>0</v>
      </c>
      <c r="F18" s="9">
        <v>1</v>
      </c>
      <c r="G18" s="9" t="str">
        <f t="shared" si="3"/>
        <v>High</v>
      </c>
      <c r="H18" s="9">
        <f>IF(OR(GlobalSettings!$C$2=0,D18&lt;=GlobalSettings!$C$2),IF(G18="Critical",5,IF(G18="High",3,(IF(G18="Medium",1,0)))),0)</f>
        <v>3</v>
      </c>
      <c r="I18" s="11">
        <f>'Control 03'!F58</f>
        <v>0</v>
      </c>
      <c r="J18" s="11" t="str">
        <f>IF(OR(GlobalSettings!$C$2=0,D18&lt;=GlobalSettings!$C$2),'Control 03'!E60,"")</f>
        <v>Safeguard Scoring Incomplete</v>
      </c>
      <c r="L18" s="103">
        <v>16</v>
      </c>
      <c r="M18" s="85" t="s">
        <v>172</v>
      </c>
      <c r="N18" s="94" t="str">
        <f>IFERROR(IF(U18=0,SUMPRODUCT(I128:I141,H128:H141)/SUM(H128:H141),"N/A"),0)</f>
        <v>N/A</v>
      </c>
      <c r="O18" s="91">
        <f>IF(U18=0,SUM(H128:H141),0)</f>
        <v>0</v>
      </c>
      <c r="P18" s="84">
        <f t="shared" si="4"/>
        <v>0</v>
      </c>
      <c r="Q18" s="84">
        <f t="shared" si="5"/>
        <v>0</v>
      </c>
      <c r="R18" s="84">
        <f t="shared" si="6"/>
        <v>0</v>
      </c>
      <c r="S18" s="84">
        <f>IF(U18=0,IF(AND($N18&gt;=0.50001,$N18&lt;=(GlobalSettings!$C$6-0.00001)),$N18,0),0)</f>
        <v>0</v>
      </c>
      <c r="T18" s="84">
        <f>IF(U18=0,IF($N18&gt;=GlobalSettings!$C$6,$N18,0),0)</f>
        <v>0</v>
      </c>
      <c r="U18" s="101">
        <f>IF('Control 16'!$F$2="Not Assessed",1,0)</f>
        <v>1</v>
      </c>
      <c r="V18" s="92">
        <v>0</v>
      </c>
      <c r="W18" s="94">
        <f>GlobalSettings!$C$6</f>
        <v>0.7</v>
      </c>
    </row>
    <row r="19" spans="2:23" x14ac:dyDescent="0.25">
      <c r="B19" s="7">
        <v>3.05</v>
      </c>
      <c r="C19" s="8" t="s">
        <v>173</v>
      </c>
      <c r="D19" s="9">
        <v>1</v>
      </c>
      <c r="E19" s="9">
        <v>0</v>
      </c>
      <c r="F19" s="9">
        <v>0</v>
      </c>
      <c r="G19" s="9" t="str">
        <f t="shared" si="3"/>
        <v>Medium</v>
      </c>
      <c r="H19" s="9">
        <f>IF(OR(GlobalSettings!$C$2=0,D19&lt;=GlobalSettings!$C$2),IF(G19="Critical",5,IF(G19="High",3,(IF(G19="Medium",1,0)))),0)</f>
        <v>1</v>
      </c>
      <c r="I19" s="11">
        <f>'Control 03'!F72</f>
        <v>0</v>
      </c>
      <c r="J19" s="11" t="str">
        <f>IF(OR(GlobalSettings!$C$2=0,D19&lt;=GlobalSettings!$C$2),'Control 03'!E74,"")</f>
        <v>Safeguard Scoring Incomplete</v>
      </c>
      <c r="L19" s="103">
        <v>17</v>
      </c>
      <c r="M19" s="85" t="s">
        <v>174</v>
      </c>
      <c r="N19" s="94">
        <f>IFERROR(IF(U19=0,SUMPRODUCT(I142:I150,H142:H150)/SUM(H142:H150),"N/A"),0)</f>
        <v>0</v>
      </c>
      <c r="O19" s="91">
        <f>IF(U19=0,SUM(H142:H150),0)</f>
        <v>3</v>
      </c>
      <c r="P19" s="84">
        <f t="shared" si="4"/>
        <v>1</v>
      </c>
      <c r="Q19" s="84">
        <f t="shared" si="5"/>
        <v>0</v>
      </c>
      <c r="R19" s="84">
        <f t="shared" si="6"/>
        <v>0</v>
      </c>
      <c r="S19" s="84">
        <f>IF(U19=0,IF(AND($N19&gt;=0.50001,$N19&lt;=(GlobalSettings!$C$6-0.00001)),$N19,0),0)</f>
        <v>0</v>
      </c>
      <c r="T19" s="84">
        <f>IF(U19=0,IF($N19&gt;=GlobalSettings!$C$6,$N19,0),0)</f>
        <v>0</v>
      </c>
      <c r="U19" s="101">
        <f>IF('Control 17'!$F$2="Not Assessed",1,0)</f>
        <v>0</v>
      </c>
      <c r="V19" s="92">
        <v>0.45819200000000004</v>
      </c>
      <c r="W19" s="94">
        <f>GlobalSettings!$C$6</f>
        <v>0.7</v>
      </c>
    </row>
    <row r="20" spans="2:23" x14ac:dyDescent="0.25">
      <c r="B20" s="7">
        <v>3.06</v>
      </c>
      <c r="C20" s="8" t="s">
        <v>175</v>
      </c>
      <c r="D20" s="9">
        <v>1</v>
      </c>
      <c r="E20" s="9">
        <v>0</v>
      </c>
      <c r="F20" s="9">
        <v>0</v>
      </c>
      <c r="G20" s="9" t="str">
        <f t="shared" si="3"/>
        <v>Medium</v>
      </c>
      <c r="H20" s="9">
        <f>IF(OR(GlobalSettings!$C$2=0,D20&lt;=GlobalSettings!$C$2),IF(G20="Critical",5,IF(G20="High",3,(IF(G20="Medium",1,0)))),0)</f>
        <v>1</v>
      </c>
      <c r="I20" s="11">
        <f>'Control 03'!F84</f>
        <v>0</v>
      </c>
      <c r="J20" s="11" t="str">
        <f>IF(OR(GlobalSettings!$C$2=0,D20&lt;=GlobalSettings!$C$2),'Control 03'!E86,"")</f>
        <v>Safeguard Scoring Incomplete</v>
      </c>
      <c r="L20" s="103">
        <v>18</v>
      </c>
      <c r="M20" s="85" t="s">
        <v>176</v>
      </c>
      <c r="N20" s="94">
        <f>IFERROR(IF(U20=0,SUMPRODUCT(I151:I155,H151:H155)/SUM(H151:H155),"N/A"),0)</f>
        <v>0</v>
      </c>
      <c r="O20" s="91">
        <f>IF(U20=0,SUM(H151:H155),0)</f>
        <v>3</v>
      </c>
      <c r="P20" s="84">
        <f t="shared" si="4"/>
        <v>1</v>
      </c>
      <c r="Q20" s="84">
        <f t="shared" si="5"/>
        <v>0</v>
      </c>
      <c r="R20" s="84">
        <f t="shared" si="6"/>
        <v>0</v>
      </c>
      <c r="S20" s="84">
        <f>IF(U20=0,IF(AND($N20&gt;=0.50001,$N20&lt;=(GlobalSettings!$C$6-0.00001)),$N20,0),0)</f>
        <v>0</v>
      </c>
      <c r="T20" s="84">
        <f>IF(U20=0,IF($N20&gt;=GlobalSettings!$C$6,$N20,0),0)</f>
        <v>0</v>
      </c>
      <c r="U20" s="101">
        <f>IF('Control 18'!$F$2="Not Assessed",1,0)</f>
        <v>0</v>
      </c>
      <c r="V20" s="92">
        <v>0.88439999999999996</v>
      </c>
      <c r="W20" s="94">
        <f>GlobalSettings!$C$6</f>
        <v>0.7</v>
      </c>
    </row>
    <row r="21" spans="2:23" x14ac:dyDescent="0.25">
      <c r="B21" s="7">
        <v>3.07</v>
      </c>
      <c r="C21" s="8" t="s">
        <v>177</v>
      </c>
      <c r="D21" s="9">
        <v>2</v>
      </c>
      <c r="E21" s="9">
        <v>0</v>
      </c>
      <c r="F21" s="9">
        <v>0</v>
      </c>
      <c r="G21" s="9" t="str">
        <f t="shared" si="3"/>
        <v>Medium</v>
      </c>
      <c r="H21" s="9">
        <f>IF(OR(GlobalSettings!$C$2=0,D21&lt;=GlobalSettings!$C$2),IF(G21="Critical",5,IF(G21="High",3,(IF(G21="Medium",1,0)))),0)</f>
        <v>1</v>
      </c>
      <c r="I21" s="11">
        <f>'Control 03'!F99</f>
        <v>0</v>
      </c>
      <c r="J21" s="11" t="str">
        <f>IF(OR(GlobalSettings!$C$2=0,D21&lt;=GlobalSettings!$C$2),'Control 03'!E101,"")</f>
        <v>Safeguard Scoring Incomplete</v>
      </c>
    </row>
    <row r="22" spans="2:23" x14ac:dyDescent="0.25">
      <c r="B22" s="7">
        <v>3.08</v>
      </c>
      <c r="C22" s="8" t="s">
        <v>178</v>
      </c>
      <c r="D22" s="9">
        <v>2</v>
      </c>
      <c r="E22" s="9">
        <v>0</v>
      </c>
      <c r="F22" s="9">
        <v>0</v>
      </c>
      <c r="G22" s="9" t="str">
        <f t="shared" si="3"/>
        <v>Medium</v>
      </c>
      <c r="H22" s="9">
        <f>IF(D22&lt;=GlobalSettings!$C$2,IF(G22="Critical",5,IF(G22="High",3,(IF(G22="Medium",1,0)))),0)</f>
        <v>0</v>
      </c>
      <c r="I22" s="11">
        <f>'Control 03'!F110</f>
        <v>0</v>
      </c>
      <c r="J22" s="11" t="str">
        <f>IF(D22&lt;=GlobalSettings!$C$2,'Control 03'!E112,"")</f>
        <v/>
      </c>
      <c r="K22" s="42"/>
      <c r="M22" s="83" t="s">
        <v>179</v>
      </c>
      <c r="N22" s="84">
        <f>IFERROR(SUMPRODUCT(N3:N20,$O$3:$O$20)/SUM($O$3:$O$20),0)</f>
        <v>0</v>
      </c>
      <c r="O22" s="82">
        <f>SUM(O3:O20)</f>
        <v>144</v>
      </c>
      <c r="P22" s="11">
        <f t="shared" ref="P22" si="7">1-N22</f>
        <v>1</v>
      </c>
      <c r="Q22" s="11">
        <f t="shared" ref="Q22" si="8">IF($N22&lt;=0.25,$N22,0)</f>
        <v>0</v>
      </c>
      <c r="R22" s="11">
        <f t="shared" ref="R22" si="9">IF(AND($N22&gt;=0.25001,$N22&lt;=0.5),$N22,0)</f>
        <v>0</v>
      </c>
      <c r="S22" s="11">
        <f>IF(AND($N22&gt;=0.50001,$N22&lt;=(GlobalSettings!$C$6-0.00001)),$N22,0)</f>
        <v>0</v>
      </c>
      <c r="T22" s="11">
        <f>IF($N22&gt;=GlobalSettings!$C$6,$N22,0)</f>
        <v>0</v>
      </c>
      <c r="V22" s="84">
        <f>IFERROR(SUMPRODUCT(V3:V20,$O$3:$O$20)/SUM($O$3:$O$20),0)</f>
        <v>0.66374911111111112</v>
      </c>
    </row>
    <row r="23" spans="2:23" x14ac:dyDescent="0.25">
      <c r="B23" s="7">
        <v>3.09</v>
      </c>
      <c r="C23" s="8" t="s">
        <v>180</v>
      </c>
      <c r="D23" s="9">
        <v>2</v>
      </c>
      <c r="E23" s="9">
        <v>0</v>
      </c>
      <c r="F23" s="9">
        <v>0</v>
      </c>
      <c r="G23" s="9" t="str">
        <f t="shared" si="3"/>
        <v>Medium</v>
      </c>
      <c r="H23" s="9">
        <f>IF(D23&lt;=GlobalSettings!$C$2,IF(G23="Critical",5,IF(G23="High",3,(IF(G23="Medium",1,0)))),0)</f>
        <v>0</v>
      </c>
      <c r="I23" s="11">
        <f>'Control 03'!F121</f>
        <v>0</v>
      </c>
      <c r="J23" s="11" t="str">
        <f>IF(D23&lt;=GlobalSettings!$C$2,'Control 03'!E123,"")</f>
        <v/>
      </c>
    </row>
    <row r="24" spans="2:23" x14ac:dyDescent="0.25">
      <c r="B24" s="7">
        <v>3.1</v>
      </c>
      <c r="C24" s="8" t="s">
        <v>181</v>
      </c>
      <c r="D24" s="9">
        <v>2</v>
      </c>
      <c r="E24" s="9">
        <v>0</v>
      </c>
      <c r="F24" s="9">
        <v>1</v>
      </c>
      <c r="G24" s="9" t="str">
        <f t="shared" si="3"/>
        <v>High</v>
      </c>
      <c r="H24" s="9">
        <f>IF(D24&lt;=GlobalSettings!$C$2,IF(G24="Critical",5,IF(G24="High",3,(IF(G24="Medium",1,0)))),0)</f>
        <v>0</v>
      </c>
      <c r="I24" s="11">
        <f>'Control 03'!F130</f>
        <v>0</v>
      </c>
      <c r="J24" s="11" t="str">
        <f>IF(D24&lt;=GlobalSettings!$C$2,'Control 03'!E132,"")</f>
        <v/>
      </c>
    </row>
    <row r="25" spans="2:23" x14ac:dyDescent="0.25">
      <c r="B25" s="7">
        <v>3.11</v>
      </c>
      <c r="C25" s="8" t="s">
        <v>182</v>
      </c>
      <c r="D25" s="9">
        <v>2</v>
      </c>
      <c r="E25" s="9">
        <v>0</v>
      </c>
      <c r="F25" s="9">
        <v>2</v>
      </c>
      <c r="G25" s="9" t="str">
        <f t="shared" si="3"/>
        <v>High</v>
      </c>
      <c r="H25" s="9">
        <f>IF(D25&lt;=GlobalSettings!$C$2,IF(G25="Critical",5,IF(G25="High",3,(IF(G25="Medium",1,0)))),0)</f>
        <v>0</v>
      </c>
      <c r="I25" s="11">
        <f>'Control 03'!F140</f>
        <v>0</v>
      </c>
      <c r="J25" s="11" t="str">
        <f>IF(D25&lt;=GlobalSettings!$C$2,'Control 03'!E142,"")</f>
        <v/>
      </c>
      <c r="M25" s="81" t="s">
        <v>183</v>
      </c>
      <c r="N25" s="95" t="s">
        <v>132</v>
      </c>
      <c r="O25" s="95" t="s">
        <v>184</v>
      </c>
      <c r="P25" s="95" t="s">
        <v>185</v>
      </c>
      <c r="Q25" s="95" t="s">
        <v>186</v>
      </c>
    </row>
    <row r="26" spans="2:23" x14ac:dyDescent="0.25">
      <c r="B26" s="7">
        <v>3.12</v>
      </c>
      <c r="C26" s="8" t="s">
        <v>187</v>
      </c>
      <c r="D26" s="9">
        <v>2</v>
      </c>
      <c r="E26" s="9">
        <v>0</v>
      </c>
      <c r="F26" s="9">
        <v>5</v>
      </c>
      <c r="G26" s="9" t="str">
        <f t="shared" si="3"/>
        <v>High</v>
      </c>
      <c r="H26" s="9">
        <f>IF(D26&lt;=GlobalSettings!$C$2,IF(G26="Critical",5,IF(G26="High",3,(IF(G26="Medium",1,0)))),0)</f>
        <v>0</v>
      </c>
      <c r="I26" s="11">
        <f>'Control 03'!F149</f>
        <v>0</v>
      </c>
      <c r="J26" s="11" t="str">
        <f>IF(D26&lt;=GlobalSettings!$C$2,'Control 03'!E151,"")</f>
        <v/>
      </c>
      <c r="M26" s="96" t="s">
        <v>2211</v>
      </c>
      <c r="N26" s="129">
        <f>N22</f>
        <v>0</v>
      </c>
      <c r="O26" s="97">
        <v>1</v>
      </c>
      <c r="P26" s="129">
        <f>N26-(Q26/2)</f>
        <v>-0.01</v>
      </c>
      <c r="Q26" s="97">
        <v>0.02</v>
      </c>
    </row>
    <row r="27" spans="2:23" x14ac:dyDescent="0.25">
      <c r="B27" s="7">
        <v>3.13</v>
      </c>
      <c r="C27" s="8" t="s">
        <v>188</v>
      </c>
      <c r="D27" s="9">
        <v>3</v>
      </c>
      <c r="E27" s="9">
        <v>0</v>
      </c>
      <c r="F27" s="9">
        <v>0</v>
      </c>
      <c r="G27" s="9" t="str">
        <f t="shared" si="3"/>
        <v>Medium</v>
      </c>
      <c r="H27" s="9">
        <f>IF(D27&lt;=GlobalSettings!$C$2,IF(G27="Critical",5,IF(G27="High",3,(IF(G27="Medium",1,0)))),0)</f>
        <v>0</v>
      </c>
      <c r="I27" s="11">
        <f>'Control 03'!F160</f>
        <v>0</v>
      </c>
      <c r="J27" s="11" t="str">
        <f>IF(D27&lt;=GlobalSettings!$C$2,'Control 03'!E162,"")</f>
        <v/>
      </c>
    </row>
    <row r="28" spans="2:23" x14ac:dyDescent="0.25">
      <c r="B28" s="16">
        <v>3.14</v>
      </c>
      <c r="C28" s="17" t="s">
        <v>189</v>
      </c>
      <c r="D28" s="18">
        <v>3</v>
      </c>
      <c r="E28" s="18">
        <v>0</v>
      </c>
      <c r="F28" s="18">
        <v>0</v>
      </c>
      <c r="G28" s="18" t="str">
        <f t="shared" si="3"/>
        <v>Medium</v>
      </c>
      <c r="H28" s="18">
        <f>IF(D28&lt;=GlobalSettings!$C$2,IF(G28="Critical",5,IF(G28="High",3,(IF(G28="Medium",1,0)))),0)</f>
        <v>0</v>
      </c>
      <c r="I28" s="19">
        <f>'Control 03'!F171</f>
        <v>0</v>
      </c>
      <c r="J28" s="19" t="str">
        <f>IF(D28&lt;=GlobalSettings!$C$2,'Control 03'!E173,"")</f>
        <v/>
      </c>
      <c r="M28" s="155" t="s">
        <v>2083</v>
      </c>
      <c r="N28" s="154">
        <f>COUNTIF(J3:J155,"Safeguard Scoring Complete")/(COUNTIF(J3:J155,"Safeguard Scoring Complete")+COUNTIF(J3:J155,"Safeguard Scoring Incomplete"))</f>
        <v>0</v>
      </c>
    </row>
    <row r="29" spans="2:23" x14ac:dyDescent="0.25">
      <c r="B29" s="12">
        <v>4.01</v>
      </c>
      <c r="C29" s="13" t="s">
        <v>190</v>
      </c>
      <c r="D29" s="14">
        <v>1</v>
      </c>
      <c r="E29" s="14">
        <v>43</v>
      </c>
      <c r="F29" s="14">
        <v>10</v>
      </c>
      <c r="G29" s="14" t="str">
        <f t="shared" si="3"/>
        <v>Critical</v>
      </c>
      <c r="H29" s="14">
        <f>IF(OR(GlobalSettings!$C$2=0,D29&lt;=GlobalSettings!$C$2),IF(G29="Critical",5,IF(G29="High",3,(IF(G29="Medium",1,0)))),0)</f>
        <v>5</v>
      </c>
      <c r="I29" s="15">
        <f>'Control 04'!F12</f>
        <v>0</v>
      </c>
      <c r="J29" s="15" t="str">
        <f>IF(OR(GlobalSettings!$C$2=0,D29&lt;=GlobalSettings!$C$2),'Control 04'!E14,"")</f>
        <v>Safeguard Scoring Incomplete</v>
      </c>
    </row>
    <row r="30" spans="2:23" x14ac:dyDescent="0.25">
      <c r="B30" s="7">
        <v>4.0199999999999996</v>
      </c>
      <c r="C30" s="8" t="s">
        <v>191</v>
      </c>
      <c r="D30" s="9">
        <v>1</v>
      </c>
      <c r="E30" s="9">
        <v>7</v>
      </c>
      <c r="F30" s="9">
        <v>3</v>
      </c>
      <c r="G30" s="9" t="str">
        <f t="shared" si="3"/>
        <v>High</v>
      </c>
      <c r="H30" s="9">
        <f>IF(D30&lt;=GlobalSettings!$C$2,IF(G30="Critical",5,IF(G30="High",3,(IF(G30="Medium",1,0)))),0)</f>
        <v>0</v>
      </c>
      <c r="I30" s="11">
        <f>'Control 04'!F24</f>
        <v>0</v>
      </c>
      <c r="J30" s="11" t="str">
        <f>IF(D30&lt;=GlobalSettings!$C$2,'Control 04'!E26,"")</f>
        <v/>
      </c>
    </row>
    <row r="31" spans="2:23" x14ac:dyDescent="0.25">
      <c r="B31" s="7">
        <v>4.03</v>
      </c>
      <c r="C31" s="8" t="s">
        <v>192</v>
      </c>
      <c r="D31" s="9">
        <v>1</v>
      </c>
      <c r="E31" s="9">
        <v>0</v>
      </c>
      <c r="F31" s="9">
        <v>0</v>
      </c>
      <c r="G31" s="9" t="str">
        <f t="shared" si="3"/>
        <v>Medium</v>
      </c>
      <c r="H31" s="9">
        <f>IF(OR(GlobalSettings!$C$2=0,D31&lt;=GlobalSettings!$C$2),IF(G31="Critical",5,IF(G31="High",3,(IF(G31="Medium",1,0)))),0)</f>
        <v>1</v>
      </c>
      <c r="I31" s="11">
        <f>'Control 04'!F36</f>
        <v>0</v>
      </c>
      <c r="J31" s="11" t="str">
        <f>IF(OR(GlobalSettings!$C$2=0,D31&lt;=GlobalSettings!$C$2),'Control 04'!E38,"")</f>
        <v>Safeguard Scoring Incomplete</v>
      </c>
    </row>
    <row r="32" spans="2:23" x14ac:dyDescent="0.25">
      <c r="B32" s="7">
        <v>4.04</v>
      </c>
      <c r="C32" s="8" t="s">
        <v>193</v>
      </c>
      <c r="D32" s="9">
        <v>1</v>
      </c>
      <c r="E32" s="9">
        <v>0</v>
      </c>
      <c r="F32" s="9">
        <v>3</v>
      </c>
      <c r="G32" s="9" t="str">
        <f t="shared" si="3"/>
        <v>High</v>
      </c>
      <c r="H32" s="9">
        <f>IF(OR(GlobalSettings!$C$2=0,D32&lt;=GlobalSettings!$C$2),IF(G32="Critical",5,IF(G32="High",3,(IF(G32="Medium",1,0)))),0)</f>
        <v>3</v>
      </c>
      <c r="I32" s="11">
        <f>'Control 04'!F48</f>
        <v>0</v>
      </c>
      <c r="J32" s="11" t="str">
        <f>IF(OR(GlobalSettings!$C$2=0,D32&lt;=GlobalSettings!$C$2),'Control 04'!E50,"")</f>
        <v>Safeguard Scoring Incomplete</v>
      </c>
    </row>
    <row r="33" spans="2:10" x14ac:dyDescent="0.25">
      <c r="B33" s="7">
        <v>4.05</v>
      </c>
      <c r="C33" s="8" t="s">
        <v>194</v>
      </c>
      <c r="D33" s="9">
        <v>1</v>
      </c>
      <c r="E33" s="9">
        <v>0</v>
      </c>
      <c r="F33" s="9">
        <v>0</v>
      </c>
      <c r="G33" s="9" t="str">
        <f t="shared" si="3"/>
        <v>Medium</v>
      </c>
      <c r="H33" s="9">
        <f>IF(OR(GlobalSettings!$C$2=0,D33&lt;=GlobalSettings!$C$2),IF(G33="Critical",5,IF(G33="High",3,(IF(G33="Medium",1,0)))),0)</f>
        <v>1</v>
      </c>
      <c r="I33" s="11">
        <f>'Control 04'!F65</f>
        <v>0</v>
      </c>
      <c r="J33" s="11" t="str">
        <f>IF(OR(GlobalSettings!$C$2=0,D33&lt;=GlobalSettings!$C$2),'Control 04'!E67,"")</f>
        <v>Safeguard Scoring Incomplete</v>
      </c>
    </row>
    <row r="34" spans="2:10" x14ac:dyDescent="0.25">
      <c r="B34" s="7">
        <v>4.0599999999999996</v>
      </c>
      <c r="C34" s="8" t="s">
        <v>195</v>
      </c>
      <c r="D34" s="9">
        <v>1</v>
      </c>
      <c r="E34" s="9">
        <v>0</v>
      </c>
      <c r="F34" s="9">
        <v>0</v>
      </c>
      <c r="G34" s="9" t="str">
        <f t="shared" si="3"/>
        <v>Medium</v>
      </c>
      <c r="H34" s="9">
        <f>IF(D34&lt;=GlobalSettings!$C$2,IF(G34="Critical",5,IF(G34="High",3,(IF(G34="Medium",1,0)))),0)</f>
        <v>0</v>
      </c>
      <c r="I34" s="11">
        <f>'Control 04'!F76</f>
        <v>0</v>
      </c>
      <c r="J34" s="11" t="str">
        <f>IF(D34&lt;=GlobalSettings!$C$2,'Control 04'!E78,"")</f>
        <v/>
      </c>
    </row>
    <row r="35" spans="2:10" x14ac:dyDescent="0.25">
      <c r="B35" s="7">
        <v>4.07</v>
      </c>
      <c r="C35" s="8" t="s">
        <v>196</v>
      </c>
      <c r="D35" s="9">
        <v>1</v>
      </c>
      <c r="E35" s="9">
        <v>0</v>
      </c>
      <c r="F35" s="9">
        <v>10</v>
      </c>
      <c r="G35" s="9" t="str">
        <f t="shared" si="3"/>
        <v>Critical</v>
      </c>
      <c r="H35" s="9">
        <f>IF(OR(GlobalSettings!$C$2=0,D35&lt;=GlobalSettings!$C$2),IF(G35="Critical",5,IF(G35="High",3,(IF(G35="Medium",1,0)))),0)</f>
        <v>5</v>
      </c>
      <c r="I35" s="11">
        <f>'Control 04'!F88</f>
        <v>0</v>
      </c>
      <c r="J35" s="11" t="str">
        <f>IF(OR(GlobalSettings!$C$2=0,D35&lt;=GlobalSettings!$C$2),'Control 04'!E90,"")</f>
        <v>Safeguard Scoring Incomplete</v>
      </c>
    </row>
    <row r="36" spans="2:10" x14ac:dyDescent="0.25">
      <c r="B36" s="7">
        <v>4.08</v>
      </c>
      <c r="C36" s="8" t="s">
        <v>197</v>
      </c>
      <c r="D36" s="9">
        <v>2</v>
      </c>
      <c r="E36" s="9">
        <v>0</v>
      </c>
      <c r="F36" s="9">
        <v>6</v>
      </c>
      <c r="G36" s="9" t="str">
        <f t="shared" si="3"/>
        <v>Critical</v>
      </c>
      <c r="H36" s="9">
        <f>IF(D36&lt;=GlobalSettings!$C$2,IF(G36="Critical",5,IF(G36="High",3,(IF(G36="Medium",1,0)))),0)</f>
        <v>0</v>
      </c>
      <c r="I36" s="11">
        <f>'Control 04'!F101</f>
        <v>0</v>
      </c>
      <c r="J36" s="11" t="str">
        <f>IF(D36&lt;=GlobalSettings!$C$2,'Control 04'!E103,"")</f>
        <v/>
      </c>
    </row>
    <row r="37" spans="2:10" x14ac:dyDescent="0.25">
      <c r="B37" s="7">
        <v>4.09</v>
      </c>
      <c r="C37" s="8" t="s">
        <v>198</v>
      </c>
      <c r="D37" s="9">
        <v>2</v>
      </c>
      <c r="E37" s="9">
        <v>0</v>
      </c>
      <c r="F37" s="9">
        <v>0</v>
      </c>
      <c r="G37" s="9" t="str">
        <f t="shared" si="3"/>
        <v>Medium</v>
      </c>
      <c r="H37" s="9">
        <f>IF(D37&lt;=GlobalSettings!$C$2,IF(G37="Critical",5,IF(G37="High",3,(IF(G37="Medium",1,0)))),0)</f>
        <v>0</v>
      </c>
      <c r="I37" s="11">
        <f>'Control 04'!F111</f>
        <v>0</v>
      </c>
      <c r="J37" s="11" t="str">
        <f>IF(D37&lt;=GlobalSettings!$C$2,'Control 04'!E113,"")</f>
        <v/>
      </c>
    </row>
    <row r="38" spans="2:10" x14ac:dyDescent="0.25">
      <c r="B38" s="7">
        <v>4.0999999999999996</v>
      </c>
      <c r="C38" s="8" t="s">
        <v>199</v>
      </c>
      <c r="D38" s="9">
        <v>2</v>
      </c>
      <c r="E38" s="9">
        <v>0</v>
      </c>
      <c r="F38" s="9">
        <v>1</v>
      </c>
      <c r="G38" s="9" t="str">
        <f t="shared" si="3"/>
        <v>High</v>
      </c>
      <c r="H38" s="9">
        <f>IF(D38&lt;=GlobalSettings!$C$2,IF(G38="Critical",5,IF(G38="High",3,(IF(G38="Medium",1,0)))),0)</f>
        <v>0</v>
      </c>
      <c r="I38" s="11">
        <f>'Control 04'!F122</f>
        <v>0</v>
      </c>
      <c r="J38" s="11" t="str">
        <f>IF(D38&lt;=GlobalSettings!$C$2,'Control 04'!E124,"")</f>
        <v/>
      </c>
    </row>
    <row r="39" spans="2:10" x14ac:dyDescent="0.25">
      <c r="B39" s="7">
        <v>4.1100000000000003</v>
      </c>
      <c r="C39" s="8" t="s">
        <v>200</v>
      </c>
      <c r="D39" s="9">
        <v>2</v>
      </c>
      <c r="E39" s="9">
        <v>0</v>
      </c>
      <c r="F39" s="9">
        <v>0</v>
      </c>
      <c r="G39" s="9" t="str">
        <f t="shared" si="3"/>
        <v>Medium</v>
      </c>
      <c r="H39" s="9">
        <f>IF(D39&lt;=GlobalSettings!$C$2,IF(G39="Critical",5,IF(G39="High",3,(IF(G39="Medium",1,0)))),0)</f>
        <v>0</v>
      </c>
      <c r="I39" s="11">
        <f>'Control 04'!F131</f>
        <v>0</v>
      </c>
      <c r="J39" s="11" t="str">
        <f>IF(D39&lt;=GlobalSettings!$C$2,'Control 04'!E133,"")</f>
        <v/>
      </c>
    </row>
    <row r="40" spans="2:10" x14ac:dyDescent="0.25">
      <c r="B40" s="16">
        <v>4.12</v>
      </c>
      <c r="C40" s="17" t="s">
        <v>201</v>
      </c>
      <c r="D40" s="18">
        <v>3</v>
      </c>
      <c r="E40" s="18">
        <v>0</v>
      </c>
      <c r="F40" s="18">
        <v>0</v>
      </c>
      <c r="G40" s="18" t="str">
        <f t="shared" si="3"/>
        <v>Medium</v>
      </c>
      <c r="H40" s="18">
        <f>IF(D40&lt;=GlobalSettings!$C$2,IF(G40="Critical",5,IF(G40="High",3,(IF(G40="Medium",1,0)))),0)</f>
        <v>0</v>
      </c>
      <c r="I40" s="19">
        <f>'Control 04'!F143</f>
        <v>0</v>
      </c>
      <c r="J40" s="19" t="str">
        <f>IF(D40&lt;=GlobalSettings!$C$2,'Control 04'!E145,"")</f>
        <v/>
      </c>
    </row>
    <row r="41" spans="2:10" x14ac:dyDescent="0.25">
      <c r="B41" s="12">
        <v>5.01</v>
      </c>
      <c r="C41" s="13" t="s">
        <v>202</v>
      </c>
      <c r="D41" s="14">
        <v>1</v>
      </c>
      <c r="E41" s="14">
        <v>6</v>
      </c>
      <c r="F41" s="14">
        <v>2</v>
      </c>
      <c r="G41" s="14" t="str">
        <f t="shared" si="3"/>
        <v>High</v>
      </c>
      <c r="H41" s="14">
        <f>IF(OR(GlobalSettings!$C$2=0,D41&lt;=GlobalSettings!$C$2),IF(G41="Critical",5,IF(G41="High",3,(IF(G41="Medium",1,0)))),0)</f>
        <v>3</v>
      </c>
      <c r="I41" s="15">
        <f>'Control 05'!F16</f>
        <v>0</v>
      </c>
      <c r="J41" s="15" t="str">
        <f>IF(OR(GlobalSettings!$C$2=0,D41&lt;=GlobalSettings!$C$2),'Control 05'!E18,"")</f>
        <v>Safeguard Scoring Incomplete</v>
      </c>
    </row>
    <row r="42" spans="2:10" x14ac:dyDescent="0.25">
      <c r="B42" s="7">
        <v>5.0199999999999996</v>
      </c>
      <c r="C42" s="8" t="s">
        <v>203</v>
      </c>
      <c r="D42" s="9">
        <v>1</v>
      </c>
      <c r="E42" s="9">
        <v>1</v>
      </c>
      <c r="F42" s="9">
        <v>5</v>
      </c>
      <c r="G42" s="9" t="str">
        <f t="shared" si="3"/>
        <v>High</v>
      </c>
      <c r="H42" s="9">
        <f>IF(OR(GlobalSettings!$C$2=0,D42&lt;=GlobalSettings!$C$2),IF(G42="Critical",5,IF(G42="High",3,(IF(G42="Medium",1,0)))),0)</f>
        <v>3</v>
      </c>
      <c r="I42" s="11">
        <f>'Control 05'!F31</f>
        <v>0</v>
      </c>
      <c r="J42" s="11" t="str">
        <f>IF(OR(GlobalSettings!$C$2=0,D42&lt;=GlobalSettings!$C$2),'Control 05'!E33,"")</f>
        <v>Safeguard Scoring Incomplete</v>
      </c>
    </row>
    <row r="43" spans="2:10" x14ac:dyDescent="0.25">
      <c r="B43" s="7">
        <v>5.03</v>
      </c>
      <c r="C43" s="8" t="s">
        <v>204</v>
      </c>
      <c r="D43" s="9">
        <v>1</v>
      </c>
      <c r="E43" s="9">
        <v>0</v>
      </c>
      <c r="F43" s="9">
        <v>9</v>
      </c>
      <c r="G43" s="9" t="str">
        <f t="shared" si="3"/>
        <v>Critical</v>
      </c>
      <c r="H43" s="9">
        <f>IF(OR(GlobalSettings!$C$2=0,D43&lt;=GlobalSettings!$C$2),IF(G43="Critical",5,IF(G43="High",3,(IF(G43="Medium",1,0)))),0)</f>
        <v>5</v>
      </c>
      <c r="I43" s="11">
        <f>'Control 05'!F44</f>
        <v>0</v>
      </c>
      <c r="J43" s="11" t="str">
        <f>IF(OR(GlobalSettings!$C$2=0,D43&lt;=GlobalSettings!$C$2),'Control 05'!E46,"")</f>
        <v>Safeguard Scoring Incomplete</v>
      </c>
    </row>
    <row r="44" spans="2:10" x14ac:dyDescent="0.25">
      <c r="B44" s="7">
        <v>5.04</v>
      </c>
      <c r="C44" s="8" t="s">
        <v>205</v>
      </c>
      <c r="D44" s="9">
        <v>1</v>
      </c>
      <c r="E44" s="9">
        <v>0</v>
      </c>
      <c r="F44" s="9">
        <v>8</v>
      </c>
      <c r="G44" s="9" t="str">
        <f t="shared" si="3"/>
        <v>Critical</v>
      </c>
      <c r="H44" s="9">
        <f>IF(OR(GlobalSettings!$C$2=0,D44&lt;=GlobalSettings!$C$2),IF(G44="Critical",5,IF(G44="High",3,(IF(G44="Medium",1,0)))),0)</f>
        <v>5</v>
      </c>
      <c r="I44" s="11">
        <f>'Control 05'!F57</f>
        <v>0</v>
      </c>
      <c r="J44" s="11" t="str">
        <f>IF(OR(GlobalSettings!$C$2=0,D44&lt;=GlobalSettings!$C$2),'Control 05'!E59,"")</f>
        <v>Safeguard Scoring Incomplete</v>
      </c>
    </row>
    <row r="45" spans="2:10" x14ac:dyDescent="0.25">
      <c r="B45" s="7">
        <v>5.05</v>
      </c>
      <c r="C45" s="8" t="s">
        <v>206</v>
      </c>
      <c r="D45" s="9">
        <v>2</v>
      </c>
      <c r="E45" s="9">
        <v>0</v>
      </c>
      <c r="F45" s="9">
        <v>2</v>
      </c>
      <c r="G45" s="9" t="str">
        <f t="shared" si="3"/>
        <v>High</v>
      </c>
      <c r="H45" s="9">
        <f>IF(D45&lt;=GlobalSettings!$C$2,IF(G45="Critical",5,IF(G45="High",3,(IF(G45="Medium",1,0)))),0)</f>
        <v>0</v>
      </c>
      <c r="I45" s="11">
        <f>'Control 05'!F72</f>
        <v>0</v>
      </c>
      <c r="J45" s="11" t="str">
        <f>IF(D45&lt;=GlobalSettings!$C$2,'Control 05'!E74,"")</f>
        <v/>
      </c>
    </row>
    <row r="46" spans="2:10" x14ac:dyDescent="0.25">
      <c r="B46" s="16">
        <v>5.0599999999999996</v>
      </c>
      <c r="C46" s="17" t="s">
        <v>207</v>
      </c>
      <c r="D46" s="18">
        <v>2</v>
      </c>
      <c r="E46" s="18">
        <v>0</v>
      </c>
      <c r="F46" s="18">
        <v>0</v>
      </c>
      <c r="G46" s="18" t="str">
        <f t="shared" si="3"/>
        <v>Medium</v>
      </c>
      <c r="H46" s="18">
        <f>IF(D46&lt;=GlobalSettings!$C$2,IF(G46="Critical",5,IF(G46="High",3,(IF(G46="Medium",1,0)))),0)</f>
        <v>0</v>
      </c>
      <c r="I46" s="19">
        <f>'Control 05'!F81</f>
        <v>0</v>
      </c>
      <c r="J46" s="19" t="str">
        <f>IF(D46&lt;=GlobalSettings!$C$2,'Control 05'!E83,"")</f>
        <v/>
      </c>
    </row>
    <row r="47" spans="2:10" x14ac:dyDescent="0.25">
      <c r="B47" s="12">
        <v>6.01</v>
      </c>
      <c r="C47" s="13" t="s">
        <v>208</v>
      </c>
      <c r="D47" s="14">
        <v>1</v>
      </c>
      <c r="E47" s="14">
        <v>0</v>
      </c>
      <c r="F47" s="14">
        <v>9</v>
      </c>
      <c r="G47" s="14" t="str">
        <f t="shared" si="3"/>
        <v>Critical</v>
      </c>
      <c r="H47" s="14">
        <f>IF(OR(GlobalSettings!$C$2=0,D47&lt;=GlobalSettings!$C$2),IF(G47="Critical",5,IF(G47="High",3,(IF(G47="Medium",1,0)))),0)</f>
        <v>5</v>
      </c>
      <c r="I47" s="15">
        <f>'Control 06'!F10</f>
        <v>0</v>
      </c>
      <c r="J47" s="15" t="str">
        <f>IF(OR(GlobalSettings!$C$2=0,D47&lt;=GlobalSettings!$C$2),'Control 06'!E12,"")</f>
        <v>Safeguard Scoring Incomplete</v>
      </c>
    </row>
    <row r="48" spans="2:10" x14ac:dyDescent="0.25">
      <c r="B48" s="7">
        <v>6.02</v>
      </c>
      <c r="C48" s="8" t="s">
        <v>209</v>
      </c>
      <c r="D48" s="9">
        <v>1</v>
      </c>
      <c r="E48" s="9">
        <v>0</v>
      </c>
      <c r="F48" s="9">
        <v>9</v>
      </c>
      <c r="G48" s="9" t="str">
        <f t="shared" si="3"/>
        <v>Critical</v>
      </c>
      <c r="H48" s="9">
        <f>IF(OR(GlobalSettings!$C$2=0,D48&lt;=GlobalSettings!$C$2),IF(G48="Critical",5,IF(G48="High",3,(IF(G48="Medium",1,0)))),0)</f>
        <v>5</v>
      </c>
      <c r="I48" s="11">
        <f>'Control 06'!F20</f>
        <v>0</v>
      </c>
      <c r="J48" s="11" t="str">
        <f>IF(OR(GlobalSettings!$C$2=0,D48&lt;=GlobalSettings!$C$2),'Control 06'!E22,"")</f>
        <v>Safeguard Scoring Incomplete</v>
      </c>
    </row>
    <row r="49" spans="2:10" x14ac:dyDescent="0.25">
      <c r="B49" s="7">
        <v>6.03</v>
      </c>
      <c r="C49" s="8" t="s">
        <v>210</v>
      </c>
      <c r="D49" s="9">
        <v>1</v>
      </c>
      <c r="E49" s="9">
        <v>0</v>
      </c>
      <c r="F49" s="9">
        <v>3</v>
      </c>
      <c r="G49" s="9" t="str">
        <f t="shared" si="3"/>
        <v>High</v>
      </c>
      <c r="H49" s="9">
        <f>IF(D49&lt;=GlobalSettings!$C$2,IF(G49="Critical",5,IF(G49="High",3,(IF(G49="Medium",1,0)))),0)</f>
        <v>0</v>
      </c>
      <c r="I49" s="11">
        <f>'Control 06'!F29</f>
        <v>0</v>
      </c>
      <c r="J49" s="11" t="str">
        <f>IF(D49&lt;=GlobalSettings!$C$2,'Control 06'!E31,"")</f>
        <v/>
      </c>
    </row>
    <row r="50" spans="2:10" x14ac:dyDescent="0.25">
      <c r="B50" s="7">
        <v>6.04</v>
      </c>
      <c r="C50" s="8" t="s">
        <v>211</v>
      </c>
      <c r="D50" s="9">
        <v>1</v>
      </c>
      <c r="E50" s="9">
        <v>0</v>
      </c>
      <c r="F50" s="9">
        <v>5</v>
      </c>
      <c r="G50" s="9" t="str">
        <f t="shared" si="3"/>
        <v>High</v>
      </c>
      <c r="H50" s="9">
        <f>IF(OR(GlobalSettings!$C$2=0,D50&lt;=GlobalSettings!$C$2),IF(G50="Critical",5,IF(G50="High",3,(IF(G50="Medium",1,0)))),0)</f>
        <v>3</v>
      </c>
      <c r="I50" s="11">
        <f>'Control 06'!F39</f>
        <v>0</v>
      </c>
      <c r="J50" s="11" t="str">
        <f>IF(OR(GlobalSettings!$C$2=0,D50&lt;=GlobalSettings!$C$2),'Control 06'!E41,"")</f>
        <v>Safeguard Scoring Incomplete</v>
      </c>
    </row>
    <row r="51" spans="2:10" x14ac:dyDescent="0.25">
      <c r="B51" s="7">
        <v>6.05</v>
      </c>
      <c r="C51" s="8" t="s">
        <v>212</v>
      </c>
      <c r="D51" s="9">
        <v>1</v>
      </c>
      <c r="E51" s="9">
        <v>0</v>
      </c>
      <c r="F51" s="9">
        <v>5</v>
      </c>
      <c r="G51" s="9" t="str">
        <f t="shared" si="3"/>
        <v>High</v>
      </c>
      <c r="H51" s="9">
        <f>IF(OR(GlobalSettings!$C$2=0,D51&lt;=GlobalSettings!$C$2),IF(G51="Critical",5,IF(G51="High",3,(IF(G51="Medium",1,0)))),0)</f>
        <v>3</v>
      </c>
      <c r="I51" s="11">
        <f>'Control 06'!F49</f>
        <v>0</v>
      </c>
      <c r="J51" s="11" t="str">
        <f>IF(OR(GlobalSettings!$C$2=0,D51&lt;=GlobalSettings!$C$2),'Control 06'!E51,"")</f>
        <v>Safeguard Scoring Incomplete</v>
      </c>
    </row>
    <row r="52" spans="2:10" x14ac:dyDescent="0.25">
      <c r="B52" s="7">
        <v>6.06</v>
      </c>
      <c r="C52" s="8" t="s">
        <v>213</v>
      </c>
      <c r="D52" s="9">
        <v>2</v>
      </c>
      <c r="E52" s="9">
        <v>2</v>
      </c>
      <c r="F52" s="9">
        <v>0</v>
      </c>
      <c r="G52" s="9" t="str">
        <f t="shared" si="3"/>
        <v>High</v>
      </c>
      <c r="H52" s="9">
        <f>IF(D52&lt;=GlobalSettings!$C$2,IF(G52="Critical",5,IF(G52="High",3,(IF(G52="Medium",1,0)))),0)</f>
        <v>0</v>
      </c>
      <c r="I52" s="11">
        <f>'Control 06'!F62</f>
        <v>0</v>
      </c>
      <c r="J52" s="11" t="str">
        <f>IF(D52&lt;=GlobalSettings!$C$2,'Control 06'!E64,"")</f>
        <v/>
      </c>
    </row>
    <row r="53" spans="2:10" x14ac:dyDescent="0.25">
      <c r="B53" s="7">
        <v>6.07</v>
      </c>
      <c r="C53" s="8" t="s">
        <v>214</v>
      </c>
      <c r="D53" s="9">
        <v>2</v>
      </c>
      <c r="E53" s="9">
        <v>0</v>
      </c>
      <c r="F53" s="9">
        <v>0</v>
      </c>
      <c r="G53" s="9" t="str">
        <f t="shared" si="3"/>
        <v>Medium</v>
      </c>
      <c r="H53" s="9">
        <f>IF(D53&lt;=GlobalSettings!$C$2,IF(G53="Critical",5,IF(G53="High",3,(IF(G53="Medium",1,0)))),0)</f>
        <v>0</v>
      </c>
      <c r="I53" s="11">
        <f>'Control 06'!F71</f>
        <v>0</v>
      </c>
      <c r="J53" s="11" t="str">
        <f>IF(D53&lt;=GlobalSettings!$C$2,'Control 06'!E73,"")</f>
        <v/>
      </c>
    </row>
    <row r="54" spans="2:10" x14ac:dyDescent="0.25">
      <c r="B54" s="16">
        <v>6.08</v>
      </c>
      <c r="C54" s="17" t="s">
        <v>215</v>
      </c>
      <c r="D54" s="18">
        <v>3</v>
      </c>
      <c r="E54" s="18">
        <v>0</v>
      </c>
      <c r="F54" s="18">
        <v>7</v>
      </c>
      <c r="G54" s="18" t="str">
        <f t="shared" si="3"/>
        <v>Critical</v>
      </c>
      <c r="H54" s="18">
        <f>IF(D54&lt;=GlobalSettings!$C$2,IF(G54="Critical",5,IF(G54="High",3,(IF(G54="Medium",1,0)))),0)</f>
        <v>0</v>
      </c>
      <c r="I54" s="19">
        <f>'Control 06'!F82</f>
        <v>0</v>
      </c>
      <c r="J54" s="19" t="str">
        <f>IF(D54&lt;=GlobalSettings!$C$2,'Control 06'!E84,"")</f>
        <v/>
      </c>
    </row>
    <row r="55" spans="2:10" x14ac:dyDescent="0.25">
      <c r="B55" s="12">
        <v>7.01</v>
      </c>
      <c r="C55" s="13" t="s">
        <v>216</v>
      </c>
      <c r="D55" s="14">
        <v>1</v>
      </c>
      <c r="E55" s="14">
        <v>0</v>
      </c>
      <c r="F55" s="14">
        <v>0</v>
      </c>
      <c r="G55" s="14" t="str">
        <f t="shared" si="3"/>
        <v>Medium</v>
      </c>
      <c r="H55" s="14">
        <f>IF(OR(GlobalSettings!$C$2=0,D55&lt;=GlobalSettings!$C$2),IF(G55="Critical",5,IF(G55="High",3,(IF(G55="Medium",1,0)))),0)</f>
        <v>1</v>
      </c>
      <c r="I55" s="15">
        <f>'Control 07'!F8</f>
        <v>0</v>
      </c>
      <c r="J55" s="15" t="str">
        <f>IF(OR(GlobalSettings!$C$2=0,D55&lt;=GlobalSettings!$C$2),'Control 07'!E10,"")</f>
        <v>Safeguard Scoring Incomplete</v>
      </c>
    </row>
    <row r="56" spans="2:10" x14ac:dyDescent="0.25">
      <c r="B56" s="7">
        <v>7.02</v>
      </c>
      <c r="C56" s="8" t="s">
        <v>217</v>
      </c>
      <c r="D56" s="9">
        <v>1</v>
      </c>
      <c r="E56" s="9">
        <v>0</v>
      </c>
      <c r="F56" s="9">
        <v>0</v>
      </c>
      <c r="G56" s="9" t="str">
        <f t="shared" si="3"/>
        <v>Medium</v>
      </c>
      <c r="H56" s="9">
        <f>IF(OR(GlobalSettings!$C$2=0,D56&lt;=GlobalSettings!$C$2),IF(G56="Critical",5,IF(G56="High",3,(IF(G56="Medium",1,0)))),0)</f>
        <v>1</v>
      </c>
      <c r="I56" s="11">
        <f>'Control 07'!F19</f>
        <v>0</v>
      </c>
      <c r="J56" s="11" t="str">
        <f>IF(OR(GlobalSettings!$C$2=0,D56&lt;=GlobalSettings!$C$2),'Control 07'!E21,"")</f>
        <v>Safeguard Scoring Incomplete</v>
      </c>
    </row>
    <row r="57" spans="2:10" x14ac:dyDescent="0.25">
      <c r="B57" s="7">
        <v>7.03</v>
      </c>
      <c r="C57" s="8" t="s">
        <v>218</v>
      </c>
      <c r="D57" s="9">
        <v>1</v>
      </c>
      <c r="E57" s="9">
        <v>0</v>
      </c>
      <c r="F57" s="9">
        <v>0</v>
      </c>
      <c r="G57" s="9" t="str">
        <f t="shared" si="3"/>
        <v>Medium</v>
      </c>
      <c r="H57" s="9">
        <f>IF(OR(GlobalSettings!$C$2=0,D57&lt;=GlobalSettings!$C$2),IF(G57="Critical",5,IF(G57="High",3,(IF(G57="Medium",1,0)))),0)</f>
        <v>1</v>
      </c>
      <c r="I57" s="11">
        <f>'Control 07'!F38</f>
        <v>0</v>
      </c>
      <c r="J57" s="11" t="str">
        <f>IF(OR(GlobalSettings!$C$2=0,D57&lt;=GlobalSettings!$C$2),'Control 07'!E40,"")</f>
        <v>Safeguard Scoring Incomplete</v>
      </c>
    </row>
    <row r="58" spans="2:10" x14ac:dyDescent="0.25">
      <c r="B58" s="7">
        <v>7.04</v>
      </c>
      <c r="C58" s="8" t="s">
        <v>219</v>
      </c>
      <c r="D58" s="9">
        <v>1</v>
      </c>
      <c r="E58" s="9">
        <v>0</v>
      </c>
      <c r="F58" s="9">
        <v>0</v>
      </c>
      <c r="G58" s="9" t="str">
        <f t="shared" si="3"/>
        <v>Medium</v>
      </c>
      <c r="H58" s="9">
        <f>IF(OR(GlobalSettings!$C$2=0,D58&lt;=GlobalSettings!$C$2),IF(G58="Critical",5,IF(G58="High",3,(IF(G58="Medium",1,0)))),0)</f>
        <v>1</v>
      </c>
      <c r="I58" s="11">
        <f>'Control 07'!F57</f>
        <v>0</v>
      </c>
      <c r="J58" s="11" t="str">
        <f>IF(OR(GlobalSettings!$C$2=0,D58&lt;=GlobalSettings!$C$2),'Control 07'!E59,"")</f>
        <v>Safeguard Scoring Incomplete</v>
      </c>
    </row>
    <row r="59" spans="2:10" x14ac:dyDescent="0.25">
      <c r="B59" s="7">
        <v>7.05</v>
      </c>
      <c r="C59" s="8" t="s">
        <v>220</v>
      </c>
      <c r="D59" s="9">
        <v>2</v>
      </c>
      <c r="E59" s="9">
        <v>0</v>
      </c>
      <c r="F59" s="9">
        <v>0</v>
      </c>
      <c r="G59" s="9" t="str">
        <f t="shared" si="3"/>
        <v>Medium</v>
      </c>
      <c r="H59" s="9">
        <f>IF(OR(GlobalSettings!$C$2=0,D59&lt;=GlobalSettings!$C$2),IF(G59="Critical",5,IF(G59="High",3,(IF(G59="Medium",1,0)))),0)</f>
        <v>1</v>
      </c>
      <c r="I59" s="11">
        <f>'Control 07'!F78</f>
        <v>0</v>
      </c>
      <c r="J59" s="11" t="str">
        <f>IF(OR(GlobalSettings!$C$2=0,D59&lt;=GlobalSettings!$C$2),'Control 07'!E80,"")</f>
        <v>Safeguard Scoring Incomplete</v>
      </c>
    </row>
    <row r="60" spans="2:10" x14ac:dyDescent="0.25">
      <c r="B60" s="7">
        <v>7.06</v>
      </c>
      <c r="C60" s="8" t="s">
        <v>221</v>
      </c>
      <c r="D60" s="9">
        <v>2</v>
      </c>
      <c r="E60" s="9">
        <v>0</v>
      </c>
      <c r="F60" s="9">
        <v>1</v>
      </c>
      <c r="G60" s="9" t="str">
        <f t="shared" si="3"/>
        <v>High</v>
      </c>
      <c r="H60" s="9">
        <f>IF(OR(GlobalSettings!$C$2=0,D60&lt;=GlobalSettings!$C$2),IF(G60="Critical",5,IF(G60="High",3,(IF(G60="Medium",1,0)))),0)</f>
        <v>3</v>
      </c>
      <c r="I60" s="11">
        <f>'Control 07'!F92</f>
        <v>0</v>
      </c>
      <c r="J60" s="11" t="str">
        <f>IF(OR(GlobalSettings!$C$2=0,D60&lt;=GlobalSettings!$C$2),'Control 07'!E94,"")</f>
        <v>Safeguard Scoring Incomplete</v>
      </c>
    </row>
    <row r="61" spans="2:10" x14ac:dyDescent="0.25">
      <c r="B61" s="16">
        <v>7.07</v>
      </c>
      <c r="C61" s="17" t="s">
        <v>222</v>
      </c>
      <c r="D61" s="18">
        <v>2</v>
      </c>
      <c r="E61" s="18">
        <v>0</v>
      </c>
      <c r="F61" s="18">
        <v>1</v>
      </c>
      <c r="G61" s="18" t="str">
        <f t="shared" si="3"/>
        <v>High</v>
      </c>
      <c r="H61" s="18">
        <f>IF(D61&lt;=GlobalSettings!$C$2,IF(G61="Critical",5,IF(G61="High",3,(IF(G61="Medium",1,0)))),0)</f>
        <v>0</v>
      </c>
      <c r="I61" s="19">
        <f>'Control 07'!F102</f>
        <v>0</v>
      </c>
      <c r="J61" s="19" t="str">
        <f>IF(D61&lt;=GlobalSettings!$C$2,'Control 07'!E104,"")</f>
        <v/>
      </c>
    </row>
    <row r="62" spans="2:10" x14ac:dyDescent="0.25">
      <c r="B62" s="12">
        <v>8.01</v>
      </c>
      <c r="C62" s="13" t="s">
        <v>223</v>
      </c>
      <c r="D62" s="14">
        <v>1</v>
      </c>
      <c r="E62" s="14">
        <v>1</v>
      </c>
      <c r="F62" s="14">
        <v>1</v>
      </c>
      <c r="G62" s="14" t="str">
        <f t="shared" si="3"/>
        <v>High</v>
      </c>
      <c r="H62" s="14">
        <f>IF(OR(GlobalSettings!$C$2=0,D62&lt;=GlobalSettings!$C$2),IF(G62="Critical",5,IF(G62="High",3,(IF(G62="Medium",1,0)))),0)</f>
        <v>3</v>
      </c>
      <c r="I62" s="15">
        <f>'Control 08'!F11</f>
        <v>0</v>
      </c>
      <c r="J62" s="15" t="str">
        <f>IF(OR(GlobalSettings!$C$2=0,D62&lt;=GlobalSettings!$C$2),'Control 08'!E13,"")</f>
        <v>Safeguard Scoring Incomplete</v>
      </c>
    </row>
    <row r="63" spans="2:10" x14ac:dyDescent="0.25">
      <c r="B63" s="7">
        <v>8.02</v>
      </c>
      <c r="C63" s="8" t="s">
        <v>224</v>
      </c>
      <c r="D63" s="9">
        <v>1</v>
      </c>
      <c r="E63" s="9">
        <v>0</v>
      </c>
      <c r="F63" s="9">
        <v>1</v>
      </c>
      <c r="G63" s="9" t="str">
        <f t="shared" si="3"/>
        <v>High</v>
      </c>
      <c r="H63" s="9">
        <f>IF(OR(GlobalSettings!$C$2=0,D63&lt;=GlobalSettings!$C$2),IF(G63="Critical",5,IF(G63="High",3,(IF(G63="Medium",1,0)))),0)</f>
        <v>3</v>
      </c>
      <c r="I63" s="11">
        <f>'Control 08'!F23</f>
        <v>0</v>
      </c>
      <c r="J63" s="11" t="str">
        <f>IF(OR(GlobalSettings!$C$2=0,D63&lt;=GlobalSettings!$C$2),'Control 08'!E25,"")</f>
        <v>Safeguard Scoring Incomplete</v>
      </c>
    </row>
    <row r="64" spans="2:10" x14ac:dyDescent="0.25">
      <c r="B64" s="7">
        <v>8.0299999999999994</v>
      </c>
      <c r="C64" s="8" t="s">
        <v>225</v>
      </c>
      <c r="D64" s="9">
        <v>1</v>
      </c>
      <c r="E64" s="9">
        <v>0</v>
      </c>
      <c r="F64" s="9">
        <v>1</v>
      </c>
      <c r="G64" s="9" t="str">
        <f t="shared" si="3"/>
        <v>High</v>
      </c>
      <c r="H64" s="9">
        <f>IF(OR(GlobalSettings!$C$2=0,D64&lt;=GlobalSettings!$C$2),IF(G64="Critical",5,IF(G64="High",3,(IF(G64="Medium",1,0)))),0)</f>
        <v>3</v>
      </c>
      <c r="I64" s="11">
        <f>'Control 08'!F39</f>
        <v>0</v>
      </c>
      <c r="J64" s="11" t="str">
        <f>IF(OR(GlobalSettings!$C$2=0,D64&lt;=GlobalSettings!$C$2),'Control 08'!E41,"")</f>
        <v>Safeguard Scoring Incomplete</v>
      </c>
    </row>
    <row r="65" spans="2:10" x14ac:dyDescent="0.25">
      <c r="B65" s="7">
        <v>8.0399999999999991</v>
      </c>
      <c r="C65" s="8" t="s">
        <v>226</v>
      </c>
      <c r="D65" s="9">
        <v>2</v>
      </c>
      <c r="E65" s="9">
        <v>0</v>
      </c>
      <c r="F65" s="9">
        <v>0</v>
      </c>
      <c r="G65" s="9" t="str">
        <f t="shared" si="3"/>
        <v>Medium</v>
      </c>
      <c r="H65" s="9">
        <f>IF(OR(GlobalSettings!$C$2=0,D65&lt;=GlobalSettings!$C$2),IF(G65="Critical",5,IF(G65="High",3,(IF(G65="Medium",1,0)))),0)</f>
        <v>1</v>
      </c>
      <c r="I65" s="11">
        <f>'Control 08'!F49</f>
        <v>0</v>
      </c>
      <c r="J65" s="11" t="str">
        <f>IF(OR(GlobalSettings!$C$2=0,D65&lt;=GlobalSettings!$C$2),'Control 08'!E51,"")</f>
        <v>Safeguard Scoring Incomplete</v>
      </c>
    </row>
    <row r="66" spans="2:10" x14ac:dyDescent="0.25">
      <c r="B66" s="7">
        <v>8.0500000000000007</v>
      </c>
      <c r="C66" s="8" t="s">
        <v>227</v>
      </c>
      <c r="D66" s="9">
        <v>2</v>
      </c>
      <c r="E66" s="9">
        <v>0</v>
      </c>
      <c r="F66" s="9">
        <v>0</v>
      </c>
      <c r="G66" s="9" t="str">
        <f t="shared" si="3"/>
        <v>Medium</v>
      </c>
      <c r="H66" s="9">
        <f>IF(OR(GlobalSettings!$C$2=0,D66&lt;=GlobalSettings!$C$2),IF(G66="Critical",5,IF(G66="High",3,(IF(G66="Medium",1,0)))),0)</f>
        <v>1</v>
      </c>
      <c r="I66" s="11">
        <f>'Control 08'!F84</f>
        <v>0</v>
      </c>
      <c r="J66" s="11" t="str">
        <f>IF(OR(GlobalSettings!$C$2=0,D66&lt;=GlobalSettings!$C$2),'Control 08'!E86,"")</f>
        <v>Safeguard Scoring Incomplete</v>
      </c>
    </row>
    <row r="67" spans="2:10" x14ac:dyDescent="0.25">
      <c r="B67" s="7">
        <v>8.06</v>
      </c>
      <c r="C67" s="8" t="s">
        <v>228</v>
      </c>
      <c r="D67" s="9">
        <v>2</v>
      </c>
      <c r="E67" s="9">
        <v>0</v>
      </c>
      <c r="F67" s="9">
        <v>0</v>
      </c>
      <c r="G67" s="9" t="str">
        <f t="shared" si="3"/>
        <v>Medium</v>
      </c>
      <c r="H67" s="9">
        <f>IF(D67&lt;=GlobalSettings!$C$2,IF(G67="Critical",5,IF(G67="High",3,(IF(G67="Medium",1,0)))),0)</f>
        <v>0</v>
      </c>
      <c r="I67" s="11">
        <f>'Control 08'!F93</f>
        <v>0</v>
      </c>
      <c r="J67" s="11" t="str">
        <f>IF(D67&lt;=GlobalSettings!$C$2,'Control 08'!E95,"")</f>
        <v/>
      </c>
    </row>
    <row r="68" spans="2:10" x14ac:dyDescent="0.25">
      <c r="B68" s="7">
        <v>8.07</v>
      </c>
      <c r="C68" s="8" t="s">
        <v>229</v>
      </c>
      <c r="D68" s="9">
        <v>2</v>
      </c>
      <c r="E68" s="9">
        <v>0</v>
      </c>
      <c r="F68" s="9">
        <v>0</v>
      </c>
      <c r="G68" s="9" t="str">
        <f t="shared" ref="G68:G131" si="10">IF(OR(E68&gt;10,F68&gt;5),"Critical",IF(OR(AND(E68&gt;0,E68&lt;11),AND(F68&gt;0,F68&lt;6)),"High","Medium"))</f>
        <v>Medium</v>
      </c>
      <c r="H68" s="9">
        <f>IF(D68&lt;=GlobalSettings!$C$2,IF(G68="Critical",5,IF(G68="High",3,(IF(G68="Medium",1,0)))),0)</f>
        <v>0</v>
      </c>
      <c r="I68" s="11">
        <f>'Control 08'!F102</f>
        <v>0</v>
      </c>
      <c r="J68" s="11" t="str">
        <f>IF(D68&lt;=GlobalSettings!$C$2,'Control 08'!E104,"")</f>
        <v/>
      </c>
    </row>
    <row r="69" spans="2:10" x14ac:dyDescent="0.25">
      <c r="B69" s="7">
        <v>8.08</v>
      </c>
      <c r="C69" s="8" t="s">
        <v>230</v>
      </c>
      <c r="D69" s="9">
        <v>2</v>
      </c>
      <c r="E69" s="9">
        <v>0</v>
      </c>
      <c r="F69" s="9">
        <v>0</v>
      </c>
      <c r="G69" s="9" t="str">
        <f t="shared" si="10"/>
        <v>Medium</v>
      </c>
      <c r="H69" s="9">
        <f>IF(D69&lt;=GlobalSettings!$C$2,IF(G69="Critical",5,IF(G69="High",3,(IF(G69="Medium",1,0)))),0)</f>
        <v>0</v>
      </c>
      <c r="I69" s="11">
        <f>'Control 08'!F111</f>
        <v>0</v>
      </c>
      <c r="J69" s="11" t="str">
        <f>IF(D69&lt;=GlobalSettings!$C$2,'Control 08'!E113,"")</f>
        <v/>
      </c>
    </row>
    <row r="70" spans="2:10" x14ac:dyDescent="0.25">
      <c r="B70" s="7">
        <v>8.09</v>
      </c>
      <c r="C70" s="8" t="s">
        <v>231</v>
      </c>
      <c r="D70" s="9">
        <v>2</v>
      </c>
      <c r="E70" s="9">
        <v>1</v>
      </c>
      <c r="F70" s="9">
        <v>1</v>
      </c>
      <c r="G70" s="9" t="str">
        <f t="shared" si="10"/>
        <v>High</v>
      </c>
      <c r="H70" s="9">
        <f>IF(OR(GlobalSettings!$C$2=0,D70&lt;=GlobalSettings!$C$2),IF(G70="Critical",5,IF(G70="High",3,(IF(G70="Medium",1,0)))),0)</f>
        <v>3</v>
      </c>
      <c r="I70" s="11">
        <f>'Control 08'!F120</f>
        <v>0</v>
      </c>
      <c r="J70" s="11" t="str">
        <f>IF(OR(GlobalSettings!$C$2=0,D70&lt;=GlobalSettings!$C$2),'Control 08'!E122,"")</f>
        <v>Safeguard Scoring Incomplete</v>
      </c>
    </row>
    <row r="71" spans="2:10" x14ac:dyDescent="0.25">
      <c r="B71" s="7">
        <v>8.1</v>
      </c>
      <c r="C71" s="8" t="s">
        <v>232</v>
      </c>
      <c r="D71" s="9">
        <v>2</v>
      </c>
      <c r="E71" s="9">
        <v>0</v>
      </c>
      <c r="F71" s="9">
        <v>1</v>
      </c>
      <c r="G71" s="9" t="str">
        <f t="shared" si="10"/>
        <v>High</v>
      </c>
      <c r="H71" s="9">
        <f>IF(OR(GlobalSettings!$C$2=0,D71&lt;=GlobalSettings!$C$2),IF(G71="Critical",5,IF(G71="High",3,(IF(G71="Medium",1,0)))),0)</f>
        <v>3</v>
      </c>
      <c r="I71" s="11">
        <f>'Control 08'!F129</f>
        <v>0</v>
      </c>
      <c r="J71" s="11" t="str">
        <f>IF(OR(GlobalSettings!$C$2=0,D71&lt;=GlobalSettings!$C$2),'Control 08'!E131,"")</f>
        <v>Safeguard Scoring Incomplete</v>
      </c>
    </row>
    <row r="72" spans="2:10" x14ac:dyDescent="0.25">
      <c r="B72" s="7">
        <v>8.11</v>
      </c>
      <c r="C72" s="8" t="s">
        <v>233</v>
      </c>
      <c r="D72" s="9">
        <v>2</v>
      </c>
      <c r="E72" s="9">
        <v>0</v>
      </c>
      <c r="F72" s="9">
        <v>0</v>
      </c>
      <c r="G72" s="9" t="str">
        <f t="shared" si="10"/>
        <v>Medium</v>
      </c>
      <c r="H72" s="9">
        <f>IF(OR(GlobalSettings!$C$2=0,D72&lt;=GlobalSettings!$C$2),IF(G72="Critical",5,IF(G72="High",3,(IF(G72="Medium",1,0)))),0)</f>
        <v>1</v>
      </c>
      <c r="I72" s="11">
        <f>'Control 08'!F137</f>
        <v>0</v>
      </c>
      <c r="J72" s="11" t="str">
        <f>IF(OR(GlobalSettings!$C$2=0,D72&lt;=GlobalSettings!$C$2),'Control 08'!E139,"")</f>
        <v>Safeguard Scoring Incomplete</v>
      </c>
    </row>
    <row r="73" spans="2:10" x14ac:dyDescent="0.25">
      <c r="B73" s="16">
        <v>8.1199999999999992</v>
      </c>
      <c r="C73" s="17" t="s">
        <v>234</v>
      </c>
      <c r="D73" s="18">
        <v>3</v>
      </c>
      <c r="E73" s="18">
        <v>0</v>
      </c>
      <c r="F73" s="18">
        <v>0</v>
      </c>
      <c r="G73" s="18" t="str">
        <f t="shared" si="10"/>
        <v>Medium</v>
      </c>
      <c r="H73" s="18">
        <f>IF(D73&lt;=GlobalSettings!$C$2,IF(G73="Critical",5,IF(G73="High",3,(IF(G73="Medium",1,0)))),0)</f>
        <v>0</v>
      </c>
      <c r="I73" s="19">
        <f>'Control 08'!F146</f>
        <v>0</v>
      </c>
      <c r="J73" s="19" t="str">
        <f>IF(D73&lt;=GlobalSettings!$C$2,'Control 08'!E148,"")</f>
        <v/>
      </c>
    </row>
    <row r="74" spans="2:10" x14ac:dyDescent="0.25">
      <c r="B74" s="12">
        <v>9.01</v>
      </c>
      <c r="C74" s="13" t="s">
        <v>235</v>
      </c>
      <c r="D74" s="14">
        <v>1</v>
      </c>
      <c r="E74" s="14">
        <v>0</v>
      </c>
      <c r="F74" s="14">
        <v>0</v>
      </c>
      <c r="G74" s="14" t="str">
        <f t="shared" si="10"/>
        <v>Medium</v>
      </c>
      <c r="H74" s="14">
        <f>IF(OR(GlobalSettings!$C$2=0,D74&lt;=GlobalSettings!$C$2),IF(G74="Critical",5,IF(G74="High",3,(IF(G74="Medium",1,0)))),0)</f>
        <v>1</v>
      </c>
      <c r="I74" s="15">
        <f>'Control 09'!F14</f>
        <v>0</v>
      </c>
      <c r="J74" s="15" t="str">
        <f>IF(OR(GlobalSettings!$C$2=0,D74&lt;=GlobalSettings!$C$2),'Control 09'!E16,"")</f>
        <v>Safeguard Scoring Incomplete</v>
      </c>
    </row>
    <row r="75" spans="2:10" x14ac:dyDescent="0.25">
      <c r="B75" s="7">
        <v>9.02</v>
      </c>
      <c r="C75" s="8" t="s">
        <v>236</v>
      </c>
      <c r="D75" s="9">
        <v>1</v>
      </c>
      <c r="E75" s="9">
        <v>0</v>
      </c>
      <c r="F75" s="9">
        <v>0</v>
      </c>
      <c r="G75" s="9" t="str">
        <f t="shared" si="10"/>
        <v>Medium</v>
      </c>
      <c r="H75" s="9">
        <f>IF(OR(GlobalSettings!$C$2=0,D75&lt;=GlobalSettings!$C$2),IF(G75="Critical",5,IF(G75="High",3,(IF(G75="Medium",1,0)))),0)</f>
        <v>1</v>
      </c>
      <c r="I75" s="11">
        <f>'Control 09'!F23</f>
        <v>0</v>
      </c>
      <c r="J75" s="11" t="str">
        <f>IF(OR(GlobalSettings!$C$2=0,D75&lt;=GlobalSettings!$C$2),'Control 09'!E25,"")</f>
        <v>Safeguard Scoring Incomplete</v>
      </c>
    </row>
    <row r="76" spans="2:10" x14ac:dyDescent="0.25">
      <c r="B76" s="7">
        <v>9.0299999999999994</v>
      </c>
      <c r="C76" s="8" t="s">
        <v>237</v>
      </c>
      <c r="D76" s="9">
        <v>2</v>
      </c>
      <c r="E76" s="9">
        <v>0</v>
      </c>
      <c r="F76" s="9">
        <v>1</v>
      </c>
      <c r="G76" s="9" t="str">
        <f t="shared" si="10"/>
        <v>High</v>
      </c>
      <c r="H76" s="9">
        <f>IF(D76&lt;=GlobalSettings!$C$2,IF(G76="Critical",5,IF(G76="High",3,(IF(G76="Medium",1,0)))),0)</f>
        <v>0</v>
      </c>
      <c r="I76" s="11">
        <f>'Control 09'!F32</f>
        <v>0</v>
      </c>
      <c r="J76" s="11" t="str">
        <f>IF(D76&lt;=GlobalSettings!$C$2,'Control 09'!E34,"")</f>
        <v/>
      </c>
    </row>
    <row r="77" spans="2:10" x14ac:dyDescent="0.25">
      <c r="B77" s="7">
        <v>9.0399999999999991</v>
      </c>
      <c r="C77" s="8" t="s">
        <v>238</v>
      </c>
      <c r="D77" s="9">
        <v>2</v>
      </c>
      <c r="E77" s="9">
        <v>0</v>
      </c>
      <c r="F77" s="9">
        <v>0</v>
      </c>
      <c r="G77" s="9" t="str">
        <f t="shared" si="10"/>
        <v>Medium</v>
      </c>
      <c r="H77" s="9">
        <f>IF(D77&lt;=GlobalSettings!$C$2,IF(G77="Critical",5,IF(G77="High",3,(IF(G77="Medium",1,0)))),0)</f>
        <v>0</v>
      </c>
      <c r="I77" s="11">
        <f>'Control 09'!F44</f>
        <v>0</v>
      </c>
      <c r="J77" s="11" t="str">
        <f>IF(D77&lt;=GlobalSettings!$C$2,'Control 09'!E46,"")</f>
        <v/>
      </c>
    </row>
    <row r="78" spans="2:10" x14ac:dyDescent="0.25">
      <c r="B78" s="7">
        <v>9.0500000000000007</v>
      </c>
      <c r="C78" s="8" t="s">
        <v>239</v>
      </c>
      <c r="D78" s="9">
        <v>2</v>
      </c>
      <c r="E78" s="9">
        <v>0</v>
      </c>
      <c r="F78" s="9">
        <v>0</v>
      </c>
      <c r="G78" s="9" t="str">
        <f t="shared" si="10"/>
        <v>Medium</v>
      </c>
      <c r="H78" s="9">
        <f>IF(D78&lt;=GlobalSettings!$C$2,IF(G78="Critical",5,IF(G78="High",3,(IF(G78="Medium",1,0)))),0)</f>
        <v>0</v>
      </c>
      <c r="I78" s="11">
        <f>'Control 09'!F56</f>
        <v>0</v>
      </c>
      <c r="J78" s="11" t="str">
        <f>IF(D78&lt;=GlobalSettings!$C$2,'Control 09'!E58,"")</f>
        <v/>
      </c>
    </row>
    <row r="79" spans="2:10" x14ac:dyDescent="0.25">
      <c r="B79" s="7">
        <v>9.06</v>
      </c>
      <c r="C79" s="8" t="s">
        <v>240</v>
      </c>
      <c r="D79" s="9">
        <v>2</v>
      </c>
      <c r="E79" s="9">
        <v>0</v>
      </c>
      <c r="F79" s="9">
        <v>1</v>
      </c>
      <c r="G79" s="9" t="str">
        <f t="shared" si="10"/>
        <v>High</v>
      </c>
      <c r="H79" s="9">
        <f>IF(D79&lt;=GlobalSettings!$C$2,IF(G79="Critical",5,IF(G79="High",3,(IF(G79="Medium",1,0)))),0)</f>
        <v>0</v>
      </c>
      <c r="I79" s="11">
        <f>'Control 09'!F65</f>
        <v>0</v>
      </c>
      <c r="J79" s="11" t="str">
        <f>IF(D79&lt;=GlobalSettings!$C$2,'Control 09'!E67,"")</f>
        <v/>
      </c>
    </row>
    <row r="80" spans="2:10" x14ac:dyDescent="0.25">
      <c r="B80" s="16">
        <v>9.07</v>
      </c>
      <c r="C80" s="17" t="s">
        <v>241</v>
      </c>
      <c r="D80" s="18">
        <v>3</v>
      </c>
      <c r="E80" s="18">
        <v>0</v>
      </c>
      <c r="F80" s="18">
        <v>1</v>
      </c>
      <c r="G80" s="18" t="str">
        <f t="shared" si="10"/>
        <v>High</v>
      </c>
      <c r="H80" s="18">
        <f>IF(D80&lt;=GlobalSettings!$C$2,IF(G80="Critical",5,IF(G80="High",3,(IF(G80="Medium",1,0)))),0)</f>
        <v>0</v>
      </c>
      <c r="I80" s="19">
        <f>'Control 09'!F74</f>
        <v>0</v>
      </c>
      <c r="J80" s="19" t="str">
        <f>IF(D80&lt;=GlobalSettings!$C$2,'Control 09'!E76,"")</f>
        <v/>
      </c>
    </row>
    <row r="81" spans="2:10" x14ac:dyDescent="0.25">
      <c r="B81" s="12">
        <v>10.01</v>
      </c>
      <c r="C81" s="13" t="s">
        <v>242</v>
      </c>
      <c r="D81" s="14">
        <v>1</v>
      </c>
      <c r="E81" s="14">
        <v>3</v>
      </c>
      <c r="F81" s="14">
        <v>2</v>
      </c>
      <c r="G81" s="14" t="str">
        <f t="shared" si="10"/>
        <v>High</v>
      </c>
      <c r="H81" s="14">
        <f>IF(OR(GlobalSettings!$C$2=0,D81&lt;=GlobalSettings!$C$2),IF(G81="Critical",5,IF(G81="High",3,(IF(G81="Medium",1,0)))),0)</f>
        <v>3</v>
      </c>
      <c r="I81" s="15">
        <f>'Control 10'!F12</f>
        <v>0</v>
      </c>
      <c r="J81" s="15" t="str">
        <f>IF(OR(GlobalSettings!$C$2=0,D81&lt;=GlobalSettings!$C$2),'Control 10'!E14,"")</f>
        <v>Safeguard Scoring Incomplete</v>
      </c>
    </row>
    <row r="82" spans="2:10" x14ac:dyDescent="0.25">
      <c r="B82" s="7">
        <v>10.02</v>
      </c>
      <c r="C82" s="8" t="s">
        <v>243</v>
      </c>
      <c r="D82" s="9">
        <v>1</v>
      </c>
      <c r="E82" s="9">
        <v>0</v>
      </c>
      <c r="F82" s="9">
        <v>2</v>
      </c>
      <c r="G82" s="9" t="str">
        <f t="shared" si="10"/>
        <v>High</v>
      </c>
      <c r="H82" s="9">
        <f>IF(OR(GlobalSettings!$C$2=0,D82&lt;=GlobalSettings!$C$2),IF(G82="Critical",5,IF(G82="High",3,(IF(G82="Medium",1,0)))),0)</f>
        <v>3</v>
      </c>
      <c r="I82" s="11">
        <f>'Control 10'!F21</f>
        <v>0</v>
      </c>
      <c r="J82" s="11" t="str">
        <f>IF(OR(GlobalSettings!$C$2=0,D82&lt;=GlobalSettings!$C$2),'Control 10'!E23,"")</f>
        <v>Safeguard Scoring Incomplete</v>
      </c>
    </row>
    <row r="83" spans="2:10" x14ac:dyDescent="0.25">
      <c r="B83" s="7">
        <v>10.029999999999999</v>
      </c>
      <c r="C83" s="8" t="s">
        <v>244</v>
      </c>
      <c r="D83" s="9">
        <v>1</v>
      </c>
      <c r="E83" s="9">
        <v>0</v>
      </c>
      <c r="F83" s="9">
        <v>0</v>
      </c>
      <c r="G83" s="9" t="str">
        <f t="shared" si="10"/>
        <v>Medium</v>
      </c>
      <c r="H83" s="9">
        <f>IF(OR(GlobalSettings!$C$2=0,D83&lt;=GlobalSettings!$C$2),IF(G83="Critical",5,IF(G83="High",3,(IF(G83="Medium",1,0)))),0)</f>
        <v>1</v>
      </c>
      <c r="I83" s="11">
        <f>'Control 10'!F33</f>
        <v>0</v>
      </c>
      <c r="J83" s="11" t="str">
        <f>IF(OR(GlobalSettings!$C$2=0,D83&lt;=GlobalSettings!$C$2),'Control 10'!E35,"")</f>
        <v>Safeguard Scoring Incomplete</v>
      </c>
    </row>
    <row r="84" spans="2:10" x14ac:dyDescent="0.25">
      <c r="B84" s="7">
        <v>10.039999999999999</v>
      </c>
      <c r="C84" s="8" t="s">
        <v>245</v>
      </c>
      <c r="D84" s="9">
        <v>2</v>
      </c>
      <c r="E84" s="9">
        <v>0</v>
      </c>
      <c r="F84" s="9">
        <v>0</v>
      </c>
      <c r="G84" s="9" t="str">
        <f t="shared" si="10"/>
        <v>Medium</v>
      </c>
      <c r="H84" s="9">
        <f>IF(D84&lt;=GlobalSettings!$C$2,IF(G84="Critical",5,IF(G84="High",3,(IF(G84="Medium",1,0)))),0)</f>
        <v>0</v>
      </c>
      <c r="I84" s="11">
        <f>'Control 10'!F42</f>
        <v>0</v>
      </c>
      <c r="J84" s="11" t="str">
        <f>IF(D84&lt;=GlobalSettings!$C$2,'Control 10'!E44,"")</f>
        <v/>
      </c>
    </row>
    <row r="85" spans="2:10" x14ac:dyDescent="0.25">
      <c r="B85" s="7">
        <v>10.050000000000001</v>
      </c>
      <c r="C85" s="8" t="s">
        <v>246</v>
      </c>
      <c r="D85" s="9">
        <v>2</v>
      </c>
      <c r="E85" s="9">
        <v>0</v>
      </c>
      <c r="F85" s="9">
        <v>0</v>
      </c>
      <c r="G85" s="9" t="str">
        <f t="shared" si="10"/>
        <v>Medium</v>
      </c>
      <c r="H85" s="9">
        <f>IF(D85&lt;=GlobalSettings!$C$2,IF(G85="Critical",5,IF(G85="High",3,(IF(G85="Medium",1,0)))),0)</f>
        <v>0</v>
      </c>
      <c r="I85" s="11">
        <f>'Control 10'!F51</f>
        <v>0</v>
      </c>
      <c r="J85" s="11" t="str">
        <f>IF(D85&lt;=GlobalSettings!$C$2,'Control 10'!E53,"")</f>
        <v/>
      </c>
    </row>
    <row r="86" spans="2:10" x14ac:dyDescent="0.25">
      <c r="B86" s="7">
        <v>10.06</v>
      </c>
      <c r="C86" s="8" t="s">
        <v>247</v>
      </c>
      <c r="D86" s="9">
        <v>2</v>
      </c>
      <c r="E86" s="9">
        <v>0</v>
      </c>
      <c r="F86" s="9">
        <v>0</v>
      </c>
      <c r="G86" s="9" t="str">
        <f t="shared" si="10"/>
        <v>Medium</v>
      </c>
      <c r="H86" s="9">
        <f>IF(D86&lt;=GlobalSettings!$C$2,IF(G86="Critical",5,IF(G86="High",3,(IF(G86="Medium",1,0)))),0)</f>
        <v>0</v>
      </c>
      <c r="I86" s="11">
        <f>'Control 10'!F60</f>
        <v>0</v>
      </c>
      <c r="J86" s="11" t="str">
        <f>IF(D86&lt;=GlobalSettings!$C$2,'Control 10'!E62,"")</f>
        <v/>
      </c>
    </row>
    <row r="87" spans="2:10" x14ac:dyDescent="0.25">
      <c r="B87" s="16">
        <v>10.07</v>
      </c>
      <c r="C87" s="17" t="s">
        <v>248</v>
      </c>
      <c r="D87" s="18">
        <v>2</v>
      </c>
      <c r="E87" s="18">
        <v>0</v>
      </c>
      <c r="F87" s="18">
        <v>2</v>
      </c>
      <c r="G87" s="18" t="str">
        <f t="shared" si="10"/>
        <v>High</v>
      </c>
      <c r="H87" s="18">
        <f>IF(D87&lt;=GlobalSettings!$C$2,IF(G87="Critical",5,IF(G87="High",3,(IF(G87="Medium",1,0)))),0)</f>
        <v>0</v>
      </c>
      <c r="I87" s="19">
        <f>'Control 10'!F71</f>
        <v>0</v>
      </c>
      <c r="J87" s="19" t="str">
        <f>IF(D87&lt;=GlobalSettings!$C$2,'Control 10'!E73,"")</f>
        <v/>
      </c>
    </row>
    <row r="88" spans="2:10" x14ac:dyDescent="0.25">
      <c r="B88" s="12">
        <v>11.01</v>
      </c>
      <c r="C88" s="13" t="s">
        <v>249</v>
      </c>
      <c r="D88" s="14">
        <v>1</v>
      </c>
      <c r="E88" s="14">
        <v>0</v>
      </c>
      <c r="F88" s="14">
        <v>0</v>
      </c>
      <c r="G88" s="14" t="str">
        <f t="shared" si="10"/>
        <v>Medium</v>
      </c>
      <c r="H88" s="14">
        <f>IF(OR(GlobalSettings!$C$2=0,D88&lt;=GlobalSettings!$C$2),IF(G88="Critical",5,IF(G88="High",3,(IF(G88="Medium",1,0)))),0)</f>
        <v>1</v>
      </c>
      <c r="I88" s="15">
        <f>'Control 11'!F12</f>
        <v>0</v>
      </c>
      <c r="J88" s="15" t="str">
        <f>IF(OR(GlobalSettings!$C$2=0,D88&lt;=GlobalSettings!$C$2),'Control 11'!E14,"")</f>
        <v>Safeguard Scoring Incomplete</v>
      </c>
    </row>
    <row r="89" spans="2:10" x14ac:dyDescent="0.25">
      <c r="B89" s="7">
        <v>11.02</v>
      </c>
      <c r="C89" s="8" t="s">
        <v>250</v>
      </c>
      <c r="D89" s="9">
        <v>1</v>
      </c>
      <c r="E89" s="9">
        <v>0</v>
      </c>
      <c r="F89" s="9">
        <v>0</v>
      </c>
      <c r="G89" s="9" t="str">
        <f t="shared" si="10"/>
        <v>Medium</v>
      </c>
      <c r="H89" s="9">
        <f>IF(OR(GlobalSettings!$C$2=0,D89&lt;=GlobalSettings!$C$2),IF(G89="Critical",5,IF(G89="High",3,(IF(G89="Medium",1,0)))),0)</f>
        <v>1</v>
      </c>
      <c r="I89" s="11">
        <f>'Control 11'!F26</f>
        <v>0</v>
      </c>
      <c r="J89" s="11" t="str">
        <f>IF(OR(GlobalSettings!$C$2=0,D89&lt;=GlobalSettings!$C$2),'Control 11'!E28,"")</f>
        <v>Safeguard Scoring Incomplete</v>
      </c>
    </row>
    <row r="90" spans="2:10" x14ac:dyDescent="0.25">
      <c r="B90" s="7">
        <v>11.03</v>
      </c>
      <c r="C90" s="8" t="s">
        <v>251</v>
      </c>
      <c r="D90" s="9">
        <v>1</v>
      </c>
      <c r="E90" s="9">
        <v>0</v>
      </c>
      <c r="F90" s="9">
        <v>3</v>
      </c>
      <c r="G90" s="9" t="str">
        <f t="shared" si="10"/>
        <v>High</v>
      </c>
      <c r="H90" s="9">
        <f>IF(OR(GlobalSettings!$C$2=0,D90&lt;=GlobalSettings!$C$2),IF(G90="Critical",5,IF(G90="High",3,(IF(G90="Medium",1,0)))),0)</f>
        <v>3</v>
      </c>
      <c r="I90" s="11">
        <f>'Control 11'!F35</f>
        <v>0</v>
      </c>
      <c r="J90" s="11" t="str">
        <f>IF(OR(GlobalSettings!$C$2=0,D90&lt;=GlobalSettings!$C$2),'Control 11'!E37,"")</f>
        <v>Safeguard Scoring Incomplete</v>
      </c>
    </row>
    <row r="91" spans="2:10" x14ac:dyDescent="0.25">
      <c r="B91" s="7">
        <v>11.04</v>
      </c>
      <c r="C91" s="8" t="s">
        <v>252</v>
      </c>
      <c r="D91" s="9">
        <v>1</v>
      </c>
      <c r="E91" s="9">
        <v>0</v>
      </c>
      <c r="F91" s="9">
        <v>2</v>
      </c>
      <c r="G91" s="9" t="str">
        <f t="shared" si="10"/>
        <v>High</v>
      </c>
      <c r="H91" s="9">
        <f>IF(OR(GlobalSettings!$C$2=0,D91&lt;=GlobalSettings!$C$2),IF(G91="Critical",5,IF(G91="High",3,(IF(G91="Medium",1,0)))),0)</f>
        <v>3</v>
      </c>
      <c r="I91" s="11">
        <f>'Control 11'!F44</f>
        <v>0</v>
      </c>
      <c r="J91" s="11" t="str">
        <f>IF(OR(GlobalSettings!$C$2=0,D91&lt;=GlobalSettings!$C$2),'Control 11'!E46,"")</f>
        <v>Safeguard Scoring Incomplete</v>
      </c>
    </row>
    <row r="92" spans="2:10" x14ac:dyDescent="0.25">
      <c r="B92" s="16">
        <v>11.05</v>
      </c>
      <c r="C92" s="17" t="s">
        <v>253</v>
      </c>
      <c r="D92" s="18">
        <v>2</v>
      </c>
      <c r="E92" s="18">
        <v>0</v>
      </c>
      <c r="F92" s="18">
        <v>0</v>
      </c>
      <c r="G92" s="18" t="str">
        <f t="shared" si="10"/>
        <v>Medium</v>
      </c>
      <c r="H92" s="18">
        <f>IF(D92&lt;=GlobalSettings!$C$2,IF(G92="Critical",5,IF(G92="High",3,(IF(G92="Medium",1,0)))),0)</f>
        <v>0</v>
      </c>
      <c r="I92" s="19">
        <f>'Control 11'!F54</f>
        <v>0</v>
      </c>
      <c r="J92" s="19" t="str">
        <f>IF(D92&lt;=GlobalSettings!$C$2,'Control 11'!E56,"")</f>
        <v/>
      </c>
    </row>
    <row r="93" spans="2:10" x14ac:dyDescent="0.25">
      <c r="B93" s="12">
        <v>12.01</v>
      </c>
      <c r="C93" s="13" t="s">
        <v>254</v>
      </c>
      <c r="D93" s="14">
        <v>1</v>
      </c>
      <c r="E93" s="14">
        <v>0</v>
      </c>
      <c r="F93" s="14">
        <v>0</v>
      </c>
      <c r="G93" s="14" t="str">
        <f t="shared" si="10"/>
        <v>Medium</v>
      </c>
      <c r="H93" s="14">
        <f>IF(D93&lt;=GlobalSettings!$C$2,IF(G93="Critical",5,IF(G93="High",3,(IF(G93="Medium",1,0)))),0)</f>
        <v>0</v>
      </c>
      <c r="I93" s="15">
        <f>'Control 12'!F10</f>
        <v>0</v>
      </c>
      <c r="J93" s="15" t="str">
        <f>IF(D93&lt;=GlobalSettings!$C$2,'Control 12'!E12,"")</f>
        <v/>
      </c>
    </row>
    <row r="94" spans="2:10" x14ac:dyDescent="0.25">
      <c r="B94" s="7">
        <v>12.02</v>
      </c>
      <c r="C94" s="8" t="s">
        <v>255</v>
      </c>
      <c r="D94" s="9">
        <v>2</v>
      </c>
      <c r="E94" s="9">
        <v>1</v>
      </c>
      <c r="F94" s="9">
        <v>3</v>
      </c>
      <c r="G94" s="9" t="str">
        <f t="shared" si="10"/>
        <v>High</v>
      </c>
      <c r="H94" s="9">
        <f>IF(D94&lt;=GlobalSettings!$C$2,IF(G94="Critical",5,IF(G94="High",3,(IF(G94="Medium",1,0)))),0)</f>
        <v>0</v>
      </c>
      <c r="I94" s="11">
        <f>'Control 12'!F23</f>
        <v>0</v>
      </c>
      <c r="J94" s="11" t="str">
        <f>IF(D94&lt;=GlobalSettings!$C$2,'Control 12'!E25,"")</f>
        <v/>
      </c>
    </row>
    <row r="95" spans="2:10" x14ac:dyDescent="0.25">
      <c r="B95" s="7">
        <v>12.03</v>
      </c>
      <c r="C95" s="8" t="s">
        <v>256</v>
      </c>
      <c r="D95" s="9">
        <v>2</v>
      </c>
      <c r="E95" s="9">
        <v>0</v>
      </c>
      <c r="F95" s="9">
        <v>0</v>
      </c>
      <c r="G95" s="9" t="str">
        <f t="shared" si="10"/>
        <v>Medium</v>
      </c>
      <c r="H95" s="9">
        <f>IF(D95&lt;=GlobalSettings!$C$2,IF(G95="Critical",5,IF(G95="High",3,(IF(G95="Medium",1,0)))),0)</f>
        <v>0</v>
      </c>
      <c r="I95" s="11">
        <f>'Control 12'!F38</f>
        <v>0</v>
      </c>
      <c r="J95" s="11" t="str">
        <f>IF(D95&lt;=GlobalSettings!$C$2,'Control 12'!E40,"")</f>
        <v/>
      </c>
    </row>
    <row r="96" spans="2:10" x14ac:dyDescent="0.25">
      <c r="B96" s="7">
        <v>12.04</v>
      </c>
      <c r="C96" s="8" t="s">
        <v>257</v>
      </c>
      <c r="D96" s="9">
        <v>2</v>
      </c>
      <c r="E96" s="9">
        <v>7</v>
      </c>
      <c r="F96" s="9">
        <v>0</v>
      </c>
      <c r="G96" s="9" t="str">
        <f t="shared" si="10"/>
        <v>High</v>
      </c>
      <c r="H96" s="9">
        <f>IF(D96&lt;=GlobalSettings!$C$2,IF(G96="Critical",5,IF(G96="High",3,(IF(G96="Medium",1,0)))),0)</f>
        <v>0</v>
      </c>
      <c r="I96" s="11">
        <f>'Control 12'!F45</f>
        <v>0</v>
      </c>
      <c r="J96" s="11" t="str">
        <f>IF(D96&lt;=GlobalSettings!$C$2,'Control 12'!E47,"")</f>
        <v/>
      </c>
    </row>
    <row r="97" spans="2:10" x14ac:dyDescent="0.25">
      <c r="B97" s="7">
        <v>12.05</v>
      </c>
      <c r="C97" s="8" t="s">
        <v>258</v>
      </c>
      <c r="D97" s="9">
        <v>2</v>
      </c>
      <c r="E97" s="9">
        <v>1</v>
      </c>
      <c r="F97" s="9">
        <v>0</v>
      </c>
      <c r="G97" s="9" t="str">
        <f t="shared" si="10"/>
        <v>High</v>
      </c>
      <c r="H97" s="9">
        <f>IF(D97&lt;=GlobalSettings!$C$2,IF(G97="Critical",5,IF(G97="High",3,(IF(G97="Medium",1,0)))),0)</f>
        <v>0</v>
      </c>
      <c r="I97" s="11">
        <f>'Control 12'!F58</f>
        <v>0</v>
      </c>
      <c r="J97" s="11" t="str">
        <f>IF(D97&lt;=GlobalSettings!$C$2,'Control 12'!E60,"")</f>
        <v/>
      </c>
    </row>
    <row r="98" spans="2:10" x14ac:dyDescent="0.25">
      <c r="B98" s="7">
        <v>12.06</v>
      </c>
      <c r="C98" s="8" t="s">
        <v>259</v>
      </c>
      <c r="D98" s="9">
        <v>2</v>
      </c>
      <c r="E98" s="9">
        <v>0</v>
      </c>
      <c r="F98" s="9">
        <v>0</v>
      </c>
      <c r="G98" s="9" t="str">
        <f t="shared" si="10"/>
        <v>Medium</v>
      </c>
      <c r="H98" s="9">
        <f>IF(D98&lt;=GlobalSettings!$C$2,IF(G98="Critical",5,IF(G98="High",3,(IF(G98="Medium",1,0)))),0)</f>
        <v>0</v>
      </c>
      <c r="I98" s="11">
        <f>'Control 12'!F74</f>
        <v>0</v>
      </c>
      <c r="J98" s="11" t="str">
        <f>IF(D98&lt;=GlobalSettings!$C$2,'Control 12'!E76,"")</f>
        <v/>
      </c>
    </row>
    <row r="99" spans="2:10" x14ac:dyDescent="0.25">
      <c r="B99" s="7">
        <v>12.07</v>
      </c>
      <c r="C99" s="8" t="s">
        <v>260</v>
      </c>
      <c r="D99" s="9">
        <v>2</v>
      </c>
      <c r="E99" s="9">
        <v>0</v>
      </c>
      <c r="F99" s="9">
        <v>1</v>
      </c>
      <c r="G99" s="9" t="str">
        <f t="shared" si="10"/>
        <v>High</v>
      </c>
      <c r="H99" s="9">
        <f>IF(D99&lt;=GlobalSettings!$C$2,IF(G99="Critical",5,IF(G99="High",3,(IF(G99="Medium",1,0)))),0)</f>
        <v>0</v>
      </c>
      <c r="I99" s="11">
        <f>'Control 12'!F94</f>
        <v>0</v>
      </c>
      <c r="J99" s="11" t="str">
        <f>IF(D99&lt;=GlobalSettings!$C$2,'Control 12'!E96,"")</f>
        <v/>
      </c>
    </row>
    <row r="100" spans="2:10" x14ac:dyDescent="0.25">
      <c r="B100" s="16">
        <v>12.08</v>
      </c>
      <c r="C100" s="17" t="s">
        <v>261</v>
      </c>
      <c r="D100" s="18">
        <v>3</v>
      </c>
      <c r="E100" s="18">
        <v>0</v>
      </c>
      <c r="F100" s="18">
        <v>4</v>
      </c>
      <c r="G100" s="18" t="str">
        <f t="shared" si="10"/>
        <v>High</v>
      </c>
      <c r="H100" s="18">
        <f>IF(D100&lt;=GlobalSettings!$C$2,IF(G100="Critical",5,IF(G100="High",3,(IF(G100="Medium",1,0)))),0)</f>
        <v>0</v>
      </c>
      <c r="I100" s="19">
        <f>'Control 12'!F106</f>
        <v>0</v>
      </c>
      <c r="J100" s="19" t="str">
        <f>IF(D100&lt;=GlobalSettings!$C$2,'Control 12'!E108,"")</f>
        <v/>
      </c>
    </row>
    <row r="101" spans="2:10" x14ac:dyDescent="0.25">
      <c r="B101" s="12">
        <v>13.01</v>
      </c>
      <c r="C101" s="13" t="s">
        <v>262</v>
      </c>
      <c r="D101" s="14">
        <v>2</v>
      </c>
      <c r="E101" s="14">
        <v>1</v>
      </c>
      <c r="F101" s="14">
        <v>0</v>
      </c>
      <c r="G101" s="14" t="str">
        <f t="shared" si="10"/>
        <v>High</v>
      </c>
      <c r="H101" s="14">
        <f>IF(OR(GlobalSettings!$C$2=0,D101&lt;=GlobalSettings!$C$2),IF(G101="Critical",5,IF(G101="High",3,(IF(G101="Medium",1,0)))),0)</f>
        <v>3</v>
      </c>
      <c r="I101" s="15">
        <f>'Control 13'!F10</f>
        <v>0</v>
      </c>
      <c r="J101" s="15" t="str">
        <f>IF(OR(GlobalSettings!$C$2=0,D101&lt;=GlobalSettings!$C$2),'Control 13'!E12,"")</f>
        <v>Safeguard Scoring Incomplete</v>
      </c>
    </row>
    <row r="102" spans="2:10" x14ac:dyDescent="0.25">
      <c r="B102" s="7">
        <v>13.02</v>
      </c>
      <c r="C102" s="8" t="s">
        <v>263</v>
      </c>
      <c r="D102" s="9">
        <v>2</v>
      </c>
      <c r="E102" s="9">
        <v>0</v>
      </c>
      <c r="F102" s="9">
        <v>2</v>
      </c>
      <c r="G102" s="9" t="str">
        <f t="shared" si="10"/>
        <v>High</v>
      </c>
      <c r="H102" s="9">
        <f>IF(D102&lt;=GlobalSettings!$C$2,IF(G102="Critical",5,IF(G102="High",3,(IF(G102="Medium",1,0)))),0)</f>
        <v>0</v>
      </c>
      <c r="I102" s="11">
        <f>'Control 13'!F19</f>
        <v>0</v>
      </c>
      <c r="J102" s="11" t="str">
        <f>IF(D102&lt;=GlobalSettings!$C$2,'Control 13'!E21,"")</f>
        <v/>
      </c>
    </row>
    <row r="103" spans="2:10" x14ac:dyDescent="0.25">
      <c r="B103" s="7">
        <v>13.03</v>
      </c>
      <c r="C103" s="8" t="s">
        <v>264</v>
      </c>
      <c r="D103" s="9">
        <v>2</v>
      </c>
      <c r="E103" s="9">
        <v>0</v>
      </c>
      <c r="F103" s="9">
        <v>0</v>
      </c>
      <c r="G103" s="9" t="str">
        <f t="shared" si="10"/>
        <v>Medium</v>
      </c>
      <c r="H103" s="9">
        <f>IF(D103&lt;=GlobalSettings!$C$2,IF(G103="Critical",5,IF(G103="High",3,(IF(G103="Medium",1,0)))),0)</f>
        <v>0</v>
      </c>
      <c r="I103" s="11">
        <f>'Control 13'!F28</f>
        <v>0</v>
      </c>
      <c r="J103" s="11" t="str">
        <f>IF(D103&lt;=GlobalSettings!$C$2,'Control 13'!E30,"")</f>
        <v/>
      </c>
    </row>
    <row r="104" spans="2:10" x14ac:dyDescent="0.25">
      <c r="B104" s="7">
        <v>13.04</v>
      </c>
      <c r="C104" s="8" t="s">
        <v>265</v>
      </c>
      <c r="D104" s="9">
        <v>2</v>
      </c>
      <c r="E104" s="9">
        <v>0</v>
      </c>
      <c r="F104" s="9">
        <v>0</v>
      </c>
      <c r="G104" s="9" t="str">
        <f t="shared" si="10"/>
        <v>Medium</v>
      </c>
      <c r="H104" s="9">
        <f>IF(D104&lt;=GlobalSettings!$C$2,IF(G104="Critical",5,IF(G104="High",3,(IF(G104="Medium",1,0)))),0)</f>
        <v>0</v>
      </c>
      <c r="I104" s="11">
        <f>'Control 13'!F37</f>
        <v>0</v>
      </c>
      <c r="J104" s="11" t="str">
        <f>IF(D104&lt;=GlobalSettings!$C$2,'Control 13'!E39,"")</f>
        <v/>
      </c>
    </row>
    <row r="105" spans="2:10" x14ac:dyDescent="0.25">
      <c r="B105" s="7">
        <v>13.05</v>
      </c>
      <c r="C105" s="8" t="s">
        <v>266</v>
      </c>
      <c r="D105" s="9">
        <v>2</v>
      </c>
      <c r="E105" s="9">
        <v>0</v>
      </c>
      <c r="F105" s="9">
        <v>1</v>
      </c>
      <c r="G105" s="9" t="str">
        <f t="shared" si="10"/>
        <v>High</v>
      </c>
      <c r="H105" s="9">
        <f>IF(D105&lt;=GlobalSettings!$C$2,IF(G105="Critical",5,IF(G105="High",3,(IF(G105="Medium",1,0)))),0)</f>
        <v>0</v>
      </c>
      <c r="I105" s="11">
        <f>'Control 13'!F50</f>
        <v>0</v>
      </c>
      <c r="J105" s="11" t="str">
        <f>IF(D105&lt;=GlobalSettings!$C$2,'Control 13'!E52,"")</f>
        <v/>
      </c>
    </row>
    <row r="106" spans="2:10" x14ac:dyDescent="0.25">
      <c r="B106" s="7">
        <v>13.06</v>
      </c>
      <c r="C106" s="8" t="s">
        <v>267</v>
      </c>
      <c r="D106" s="9">
        <v>2</v>
      </c>
      <c r="E106" s="9">
        <v>0</v>
      </c>
      <c r="F106" s="9">
        <v>0</v>
      </c>
      <c r="G106" s="9" t="str">
        <f t="shared" si="10"/>
        <v>Medium</v>
      </c>
      <c r="H106" s="9">
        <f>IF(D106&lt;=GlobalSettings!$C$2,IF(G106="Critical",5,IF(G106="High",3,(IF(G106="Medium",1,0)))),0)</f>
        <v>0</v>
      </c>
      <c r="I106" s="11">
        <f>'Control 13'!F59</f>
        <v>0</v>
      </c>
      <c r="J106" s="11" t="str">
        <f>IF(D106&lt;=GlobalSettings!$C$2,'Control 13'!E61,"")</f>
        <v/>
      </c>
    </row>
    <row r="107" spans="2:10" x14ac:dyDescent="0.25">
      <c r="B107" s="7">
        <v>13.07</v>
      </c>
      <c r="C107" s="8" t="s">
        <v>268</v>
      </c>
      <c r="D107" s="9">
        <v>3</v>
      </c>
      <c r="E107" s="9">
        <v>0</v>
      </c>
      <c r="F107" s="9">
        <v>2</v>
      </c>
      <c r="G107" s="9" t="str">
        <f t="shared" si="10"/>
        <v>High</v>
      </c>
      <c r="H107" s="9">
        <f>IF(OR(GlobalSettings!$C$2=0,D107&lt;=GlobalSettings!$C$2),IF(G107="Critical",5,IF(G107="High",3,(IF(G107="Medium",1,0)))),0)</f>
        <v>3</v>
      </c>
      <c r="I107" s="11">
        <f>'Control 13'!F68</f>
        <v>0</v>
      </c>
      <c r="J107" s="11" t="str">
        <f>IF(OR(GlobalSettings!$C$2=0,D107&lt;=GlobalSettings!$C$2),'Control 13'!E70,"")</f>
        <v>Safeguard Scoring Incomplete</v>
      </c>
    </row>
    <row r="108" spans="2:10" x14ac:dyDescent="0.25">
      <c r="B108" s="7">
        <v>13.08</v>
      </c>
      <c r="C108" s="8" t="s">
        <v>269</v>
      </c>
      <c r="D108" s="9">
        <v>3</v>
      </c>
      <c r="E108" s="9">
        <v>0</v>
      </c>
      <c r="F108" s="9">
        <v>0</v>
      </c>
      <c r="G108" s="9" t="str">
        <f t="shared" si="10"/>
        <v>Medium</v>
      </c>
      <c r="H108" s="9">
        <f>IF(D108&lt;=GlobalSettings!$C$2,IF(G108="Critical",5,IF(G108="High",3,(IF(G108="Medium",1,0)))),0)</f>
        <v>0</v>
      </c>
      <c r="I108" s="11">
        <f>'Control 13'!F77</f>
        <v>0</v>
      </c>
      <c r="J108" s="11" t="str">
        <f>IF(D108&lt;=GlobalSettings!$C$2,'Control 13'!E79,"")</f>
        <v/>
      </c>
    </row>
    <row r="109" spans="2:10" x14ac:dyDescent="0.25">
      <c r="B109" s="7">
        <v>13.09</v>
      </c>
      <c r="C109" s="8" t="s">
        <v>270</v>
      </c>
      <c r="D109" s="9">
        <v>3</v>
      </c>
      <c r="E109" s="9">
        <v>0</v>
      </c>
      <c r="F109" s="9">
        <v>0</v>
      </c>
      <c r="G109" s="9" t="str">
        <f t="shared" si="10"/>
        <v>Medium</v>
      </c>
      <c r="H109" s="9">
        <f>IF(D109&lt;=GlobalSettings!$C$2,IF(G109="Critical",5,IF(G109="High",3,(IF(G109="Medium",1,0)))),0)</f>
        <v>0</v>
      </c>
      <c r="I109" s="11">
        <f>'Control 13'!F94</f>
        <v>0</v>
      </c>
      <c r="J109" s="11" t="str">
        <f>IF(D109&lt;=GlobalSettings!$C$2,'Control 13'!E96,"")</f>
        <v/>
      </c>
    </row>
    <row r="110" spans="2:10" x14ac:dyDescent="0.25">
      <c r="B110" s="7">
        <v>13.1</v>
      </c>
      <c r="C110" s="8" t="s">
        <v>271</v>
      </c>
      <c r="D110" s="9">
        <v>3</v>
      </c>
      <c r="E110" s="9">
        <v>0</v>
      </c>
      <c r="F110" s="9">
        <v>1</v>
      </c>
      <c r="G110" s="9" t="str">
        <f t="shared" si="10"/>
        <v>High</v>
      </c>
      <c r="H110" s="9">
        <f>IF(D110&lt;=GlobalSettings!$C$2,IF(G110="Critical",5,IF(G110="High",3,(IF(G110="Medium",1,0)))),0)</f>
        <v>0</v>
      </c>
      <c r="I110" s="11">
        <f>'Control 13'!F103</f>
        <v>0</v>
      </c>
      <c r="J110" s="11" t="str">
        <f>IF(D110&lt;=GlobalSettings!$C$2,'Control 13'!E105,"")</f>
        <v/>
      </c>
    </row>
    <row r="111" spans="2:10" x14ac:dyDescent="0.25">
      <c r="B111" s="16">
        <v>13.11</v>
      </c>
      <c r="C111" s="17" t="s">
        <v>272</v>
      </c>
      <c r="D111" s="18">
        <v>3</v>
      </c>
      <c r="E111" s="18">
        <v>0</v>
      </c>
      <c r="F111" s="18">
        <v>0</v>
      </c>
      <c r="G111" s="18" t="str">
        <f t="shared" si="10"/>
        <v>Medium</v>
      </c>
      <c r="H111" s="18">
        <f>IF(D111&lt;=GlobalSettings!$C$2,IF(G111="Critical",5,IF(G111="High",3,(IF(G111="Medium",1,0)))),0)</f>
        <v>0</v>
      </c>
      <c r="I111" s="19">
        <f>'Control 13'!F110</f>
        <v>0</v>
      </c>
      <c r="J111" s="19" t="str">
        <f>IF(D111&lt;=GlobalSettings!$C$2,'Control 13'!E112,"")</f>
        <v/>
      </c>
    </row>
    <row r="112" spans="2:10" x14ac:dyDescent="0.25">
      <c r="B112" s="12">
        <v>14.01</v>
      </c>
      <c r="C112" s="13" t="s">
        <v>273</v>
      </c>
      <c r="D112" s="14">
        <v>1</v>
      </c>
      <c r="E112" s="14">
        <v>0</v>
      </c>
      <c r="F112" s="14">
        <v>1</v>
      </c>
      <c r="G112" s="14" t="str">
        <f t="shared" si="10"/>
        <v>High</v>
      </c>
      <c r="H112" s="14">
        <f>IF(OR(GlobalSettings!$C$2=0,D112&lt;=GlobalSettings!$C$2),IF(G112="Critical",5,IF(G112="High",3,(IF(G112="Medium",1,0)))),0)</f>
        <v>3</v>
      </c>
      <c r="I112" s="15">
        <f>'Control 14'!F14</f>
        <v>0</v>
      </c>
      <c r="J112" s="15" t="str">
        <f>IF(OR(GlobalSettings!$C$2=0,D112&lt;=GlobalSettings!$C$2),'Control 14'!E16,"")</f>
        <v>Safeguard Scoring Incomplete</v>
      </c>
    </row>
    <row r="113" spans="2:10" x14ac:dyDescent="0.25">
      <c r="B113" s="7">
        <v>14.02</v>
      </c>
      <c r="C113" s="8" t="s">
        <v>274</v>
      </c>
      <c r="D113" s="9">
        <v>1</v>
      </c>
      <c r="E113" s="9">
        <v>0</v>
      </c>
      <c r="F113" s="9">
        <v>0</v>
      </c>
      <c r="G113" s="9" t="str">
        <f t="shared" si="10"/>
        <v>Medium</v>
      </c>
      <c r="H113" s="9">
        <f>IF(OR(GlobalSettings!$C$2=0,D113&lt;=GlobalSettings!$C$2),IF(G113="Critical",5,IF(G113="High",3,(IF(G113="Medium",1,0)))),0)</f>
        <v>1</v>
      </c>
      <c r="I113" s="11">
        <f>'Control 14'!F27</f>
        <v>0</v>
      </c>
      <c r="J113" s="11" t="str">
        <f>IF(OR(GlobalSettings!$C$2=0,D113&lt;=GlobalSettings!$C$2),'Control 14'!E29,"")</f>
        <v>Safeguard Scoring Incomplete</v>
      </c>
    </row>
    <row r="114" spans="2:10" x14ac:dyDescent="0.25">
      <c r="B114" s="7">
        <v>14.03</v>
      </c>
      <c r="C114" s="8" t="s">
        <v>275</v>
      </c>
      <c r="D114" s="9">
        <v>1</v>
      </c>
      <c r="E114" s="9">
        <v>0</v>
      </c>
      <c r="F114" s="9">
        <v>1</v>
      </c>
      <c r="G114" s="9" t="str">
        <f t="shared" si="10"/>
        <v>High</v>
      </c>
      <c r="H114" s="9">
        <f>IF(OR(GlobalSettings!$C$2=0,D114&lt;=GlobalSettings!$C$2),IF(G114="Critical",5,IF(G114="High",3,(IF(G114="Medium",1,0)))),0)</f>
        <v>3</v>
      </c>
      <c r="I114" s="11">
        <f>'Control 14'!F40</f>
        <v>0</v>
      </c>
      <c r="J114" s="11" t="str">
        <f>IF(OR(GlobalSettings!$C$2=0,D114&lt;=GlobalSettings!$C$2),'Control 14'!E42,"")</f>
        <v>Safeguard Scoring Incomplete</v>
      </c>
    </row>
    <row r="115" spans="2:10" x14ac:dyDescent="0.25">
      <c r="B115" s="7">
        <v>14.04</v>
      </c>
      <c r="C115" s="8" t="s">
        <v>276</v>
      </c>
      <c r="D115" s="9">
        <v>1</v>
      </c>
      <c r="E115" s="9">
        <v>0</v>
      </c>
      <c r="F115" s="9">
        <v>0</v>
      </c>
      <c r="G115" s="9" t="str">
        <f t="shared" si="10"/>
        <v>Medium</v>
      </c>
      <c r="H115" s="9">
        <f>IF(OR(GlobalSettings!$C$2=0,D115&lt;=GlobalSettings!$C$2),IF(G115="Critical",5,IF(G115="High",3,(IF(G115="Medium",1,0)))),0)</f>
        <v>1</v>
      </c>
      <c r="I115" s="11">
        <f>'Control 14'!F53</f>
        <v>0</v>
      </c>
      <c r="J115" s="11" t="str">
        <f>IF(OR(GlobalSettings!$C$2=0,D115&lt;=GlobalSettings!$C$2),'Control 14'!E55,"")</f>
        <v>Safeguard Scoring Incomplete</v>
      </c>
    </row>
    <row r="116" spans="2:10" x14ac:dyDescent="0.25">
      <c r="B116" s="7">
        <v>14.05</v>
      </c>
      <c r="C116" s="8" t="s">
        <v>277</v>
      </c>
      <c r="D116" s="9">
        <v>1</v>
      </c>
      <c r="E116" s="9">
        <v>0</v>
      </c>
      <c r="F116" s="9">
        <v>0</v>
      </c>
      <c r="G116" s="9" t="str">
        <f t="shared" si="10"/>
        <v>Medium</v>
      </c>
      <c r="H116" s="9">
        <f>IF(OR(GlobalSettings!$C$2=0,D116&lt;=GlobalSettings!$C$2),IF(G116="Critical",5,IF(G116="High",3,(IF(G116="Medium",1,0)))),0)</f>
        <v>1</v>
      </c>
      <c r="I116" s="11">
        <f>'Control 14'!F66</f>
        <v>0</v>
      </c>
      <c r="J116" s="11" t="str">
        <f>IF(OR(GlobalSettings!$C$2=0,D116&lt;=GlobalSettings!$C$2),'Control 14'!E68,"")</f>
        <v>Safeguard Scoring Incomplete</v>
      </c>
    </row>
    <row r="117" spans="2:10" x14ac:dyDescent="0.25">
      <c r="B117" s="7">
        <v>14.06</v>
      </c>
      <c r="C117" s="8" t="s">
        <v>278</v>
      </c>
      <c r="D117" s="9">
        <v>1</v>
      </c>
      <c r="E117" s="9">
        <v>0</v>
      </c>
      <c r="F117" s="9">
        <v>0</v>
      </c>
      <c r="G117" s="9" t="str">
        <f t="shared" si="10"/>
        <v>Medium</v>
      </c>
      <c r="H117" s="9">
        <f>IF(OR(GlobalSettings!$C$2=0,D117&lt;=GlobalSettings!$C$2),IF(G117="Critical",5,IF(G117="High",3,(IF(G117="Medium",1,0)))),0)</f>
        <v>1</v>
      </c>
      <c r="I117" s="11">
        <f>'Control 14'!F79</f>
        <v>0</v>
      </c>
      <c r="J117" s="11" t="str">
        <f>IF(OR(GlobalSettings!$C$2=0,D117&lt;=GlobalSettings!$C$2),'Control 14'!E81,"")</f>
        <v>Safeguard Scoring Incomplete</v>
      </c>
    </row>
    <row r="118" spans="2:10" x14ac:dyDescent="0.25">
      <c r="B118" s="7">
        <v>14.07</v>
      </c>
      <c r="C118" s="8" t="s">
        <v>279</v>
      </c>
      <c r="D118" s="9">
        <v>1</v>
      </c>
      <c r="E118" s="9">
        <v>0</v>
      </c>
      <c r="F118" s="9">
        <v>0</v>
      </c>
      <c r="G118" s="9" t="str">
        <f t="shared" si="10"/>
        <v>Medium</v>
      </c>
      <c r="H118" s="9">
        <f>IF(D118&lt;=GlobalSettings!$C$2,IF(G118="Critical",5,IF(G118="High",3,(IF(G118="Medium",1,0)))),0)</f>
        <v>0</v>
      </c>
      <c r="I118" s="11">
        <f>'Control 14'!F92</f>
        <v>0</v>
      </c>
      <c r="J118" s="11" t="str">
        <f>IF(D118&lt;=GlobalSettings!$C$2,'Control 14'!E94,"")</f>
        <v/>
      </c>
    </row>
    <row r="119" spans="2:10" x14ac:dyDescent="0.25">
      <c r="B119" s="7">
        <v>14.08</v>
      </c>
      <c r="C119" s="8" t="s">
        <v>280</v>
      </c>
      <c r="D119" s="9">
        <v>1</v>
      </c>
      <c r="E119" s="9">
        <v>0</v>
      </c>
      <c r="F119" s="9">
        <v>0</v>
      </c>
      <c r="G119" s="9" t="str">
        <f t="shared" si="10"/>
        <v>Medium</v>
      </c>
      <c r="H119" s="9">
        <f>IF(OR(GlobalSettings!$C$2=0,D119&lt;=GlobalSettings!$C$2),IF(G119="Critical",5,IF(G119="High",3,(IF(G119="Medium",1,0)))),0)</f>
        <v>1</v>
      </c>
      <c r="I119" s="11">
        <f>'Control 14'!F105</f>
        <v>0</v>
      </c>
      <c r="J119" s="11" t="str">
        <f>IF(OR(GlobalSettings!$C$2=0,D119&lt;=GlobalSettings!$C$2),'Control 14'!E107,"")</f>
        <v>Safeguard Scoring Incomplete</v>
      </c>
    </row>
    <row r="120" spans="2:10" x14ac:dyDescent="0.25">
      <c r="B120" s="16">
        <v>14.09</v>
      </c>
      <c r="C120" s="17" t="s">
        <v>281</v>
      </c>
      <c r="D120" s="18">
        <v>2</v>
      </c>
      <c r="E120" s="18">
        <v>0</v>
      </c>
      <c r="F120" s="18">
        <v>0</v>
      </c>
      <c r="G120" s="18" t="str">
        <f t="shared" si="10"/>
        <v>Medium</v>
      </c>
      <c r="H120" s="18">
        <f>IF(D120&lt;=GlobalSettings!$C$2,IF(G120="Critical",5,IF(G120="High",3,(IF(G120="Medium",1,0)))),0)</f>
        <v>0</v>
      </c>
      <c r="I120" s="19">
        <f>'Control 14'!F118</f>
        <v>0</v>
      </c>
      <c r="J120" s="19" t="str">
        <f>IF(D120&lt;=GlobalSettings!$C$2,'Control 14'!E120,"")</f>
        <v/>
      </c>
    </row>
    <row r="121" spans="2:10" x14ac:dyDescent="0.25">
      <c r="B121" s="12">
        <v>15.01</v>
      </c>
      <c r="C121" s="13" t="s">
        <v>282</v>
      </c>
      <c r="D121" s="14">
        <v>1</v>
      </c>
      <c r="E121" s="14">
        <v>6</v>
      </c>
      <c r="F121" s="14">
        <v>0</v>
      </c>
      <c r="G121" s="14" t="str">
        <f t="shared" si="10"/>
        <v>High</v>
      </c>
      <c r="H121" s="14">
        <f>IF(OR(GlobalSettings!$C$2=0,D121&lt;=GlobalSettings!$C$2),IF(G121="Critical",5,IF(G121="High",3,(IF(G121="Medium",1,0)))),0)</f>
        <v>3</v>
      </c>
      <c r="I121" s="15">
        <f>'Control 15'!F18</f>
        <v>0</v>
      </c>
      <c r="J121" s="15" t="str">
        <f>IF(OR(GlobalSettings!$C$2=0,D121&lt;=GlobalSettings!$C$2),'Control 15'!E20,"")</f>
        <v>Safeguard Scoring Incomplete</v>
      </c>
    </row>
    <row r="122" spans="2:10" x14ac:dyDescent="0.25">
      <c r="B122" s="7">
        <v>15.02</v>
      </c>
      <c r="C122" s="8" t="s">
        <v>283</v>
      </c>
      <c r="D122" s="9">
        <v>2</v>
      </c>
      <c r="E122" s="9">
        <v>5</v>
      </c>
      <c r="F122" s="9">
        <v>0</v>
      </c>
      <c r="G122" s="9" t="str">
        <f t="shared" si="10"/>
        <v>High</v>
      </c>
      <c r="H122" s="9">
        <f>IF(D122&lt;=GlobalSettings!$C$2,IF(G122="Critical",5,IF(G122="High",3,(IF(G122="Medium",1,0)))),0)</f>
        <v>0</v>
      </c>
      <c r="I122" s="11">
        <f>'Control 15'!F32</f>
        <v>0</v>
      </c>
      <c r="J122" s="11" t="str">
        <f>IF(D122&lt;=GlobalSettings!$C$2,'Control 15'!E34,"")</f>
        <v/>
      </c>
    </row>
    <row r="123" spans="2:10" x14ac:dyDescent="0.25">
      <c r="B123" s="7">
        <v>15.03</v>
      </c>
      <c r="C123" s="8" t="s">
        <v>284</v>
      </c>
      <c r="D123" s="9">
        <v>2</v>
      </c>
      <c r="E123" s="9">
        <v>0</v>
      </c>
      <c r="F123" s="9">
        <v>0</v>
      </c>
      <c r="G123" s="9" t="str">
        <f t="shared" si="10"/>
        <v>Medium</v>
      </c>
      <c r="H123" s="9">
        <f>IF(D123&lt;=GlobalSettings!$C$2,IF(G123="Critical",5,IF(G123="High",3,(IF(G123="Medium",1,0)))),0)</f>
        <v>0</v>
      </c>
      <c r="I123" s="11">
        <f>'Control 15'!F43</f>
        <v>0</v>
      </c>
      <c r="J123" s="11" t="str">
        <f>IF(D123&lt;=GlobalSettings!$C$2,'Control 15'!E45,"")</f>
        <v/>
      </c>
    </row>
    <row r="124" spans="2:10" x14ac:dyDescent="0.25">
      <c r="B124" s="7">
        <v>15.04</v>
      </c>
      <c r="C124" s="8" t="s">
        <v>285</v>
      </c>
      <c r="D124" s="9">
        <v>2</v>
      </c>
      <c r="E124" s="9">
        <v>0</v>
      </c>
      <c r="F124" s="9">
        <v>0</v>
      </c>
      <c r="G124" s="9" t="str">
        <f t="shared" si="10"/>
        <v>Medium</v>
      </c>
      <c r="H124" s="9">
        <f>IF(D124&lt;=GlobalSettings!$C$2,IF(G124="Critical",5,IF(G124="High",3,(IF(G124="Medium",1,0)))),0)</f>
        <v>0</v>
      </c>
      <c r="I124" s="11">
        <f>'Control 15'!F55</f>
        <v>0</v>
      </c>
      <c r="J124" s="11" t="str">
        <f>IF(D124&lt;=GlobalSettings!$C$2,'Control 15'!E57,"")</f>
        <v/>
      </c>
    </row>
    <row r="125" spans="2:10" x14ac:dyDescent="0.25">
      <c r="B125" s="7">
        <v>15.05</v>
      </c>
      <c r="C125" s="8" t="s">
        <v>286</v>
      </c>
      <c r="D125" s="9">
        <v>3</v>
      </c>
      <c r="E125" s="9">
        <v>0</v>
      </c>
      <c r="F125" s="9">
        <v>0</v>
      </c>
      <c r="G125" s="9" t="str">
        <f t="shared" si="10"/>
        <v>Medium</v>
      </c>
      <c r="H125" s="9">
        <f>IF(D125&lt;=GlobalSettings!$C$2,IF(G125="Critical",5,IF(G125="High",3,(IF(G125="Medium",1,0)))),0)</f>
        <v>0</v>
      </c>
      <c r="I125" s="11">
        <f>'Control 15'!F65</f>
        <v>0</v>
      </c>
      <c r="J125" s="11" t="str">
        <f>IF(D125&lt;=GlobalSettings!$C$2,'Control 15'!E67,"")</f>
        <v/>
      </c>
    </row>
    <row r="126" spans="2:10" x14ac:dyDescent="0.25">
      <c r="B126" s="7">
        <v>15.06</v>
      </c>
      <c r="C126" s="8" t="s">
        <v>287</v>
      </c>
      <c r="D126" s="9">
        <v>3</v>
      </c>
      <c r="E126" s="9">
        <v>0</v>
      </c>
      <c r="F126" s="9">
        <v>0</v>
      </c>
      <c r="G126" s="9" t="str">
        <f t="shared" si="10"/>
        <v>Medium</v>
      </c>
      <c r="H126" s="9">
        <f>IF(D126&lt;=GlobalSettings!$C$2,IF(G126="Critical",5,IF(G126="High",3,(IF(G126="Medium",1,0)))),0)</f>
        <v>0</v>
      </c>
      <c r="I126" s="11">
        <f>'Control 15'!F75</f>
        <v>0</v>
      </c>
      <c r="J126" s="11" t="str">
        <f>IF(D126&lt;=GlobalSettings!$C$2,'Control 15'!E77,"")</f>
        <v/>
      </c>
    </row>
    <row r="127" spans="2:10" x14ac:dyDescent="0.25">
      <c r="B127" s="16">
        <v>15.07</v>
      </c>
      <c r="C127" s="17" t="s">
        <v>288</v>
      </c>
      <c r="D127" s="18">
        <v>3</v>
      </c>
      <c r="E127" s="18">
        <v>0</v>
      </c>
      <c r="F127" s="18">
        <v>0</v>
      </c>
      <c r="G127" s="18" t="str">
        <f t="shared" si="10"/>
        <v>Medium</v>
      </c>
      <c r="H127" s="18">
        <f>IF(D127&lt;=GlobalSettings!$C$2,IF(G127="Critical",5,IF(G127="High",3,(IF(G127="Medium",1,0)))),0)</f>
        <v>0</v>
      </c>
      <c r="I127" s="19">
        <f>'Control 15'!F85</f>
        <v>0</v>
      </c>
      <c r="J127" s="19" t="str">
        <f>IF(D127&lt;=GlobalSettings!$C$2,'Control 15'!E87,"")</f>
        <v/>
      </c>
    </row>
    <row r="128" spans="2:10" x14ac:dyDescent="0.25">
      <c r="B128" s="12">
        <v>16.010000000000002</v>
      </c>
      <c r="C128" s="13" t="s">
        <v>289</v>
      </c>
      <c r="D128" s="14">
        <v>2</v>
      </c>
      <c r="E128" s="14">
        <v>1</v>
      </c>
      <c r="F128" s="14">
        <v>2</v>
      </c>
      <c r="G128" s="14" t="str">
        <f t="shared" si="10"/>
        <v>High</v>
      </c>
      <c r="H128" s="14">
        <f>IF(D128&lt;=GlobalSettings!$C$2,IF(G128="Critical",5,IF(G128="High",3,(IF(G128="Medium",1,0)))),0)</f>
        <v>0</v>
      </c>
      <c r="I128" s="15">
        <f>'Control 16'!F15</f>
        <v>0</v>
      </c>
      <c r="J128" s="15" t="str">
        <f>IF(D128&lt;=GlobalSettings!$C$2,'Control 16'!E17,"")</f>
        <v/>
      </c>
    </row>
    <row r="129" spans="2:10" x14ac:dyDescent="0.25">
      <c r="B129" s="7">
        <v>16.02</v>
      </c>
      <c r="C129" s="8" t="s">
        <v>290</v>
      </c>
      <c r="D129" s="9">
        <v>2</v>
      </c>
      <c r="E129" s="9">
        <v>2</v>
      </c>
      <c r="F129" s="9">
        <v>0</v>
      </c>
      <c r="G129" s="9" t="str">
        <f t="shared" si="10"/>
        <v>High</v>
      </c>
      <c r="H129" s="9">
        <f>IF(D129&lt;=GlobalSettings!$C$2,IF(G129="Critical",5,IF(G129="High",3,(IF(G129="Medium",1,0)))),0)</f>
        <v>0</v>
      </c>
      <c r="I129" s="11">
        <f>'Control 16'!F31</f>
        <v>0</v>
      </c>
      <c r="J129" s="11" t="str">
        <f>IF(D129&lt;=GlobalSettings!$C$2,'Control 16'!E33,"")</f>
        <v/>
      </c>
    </row>
    <row r="130" spans="2:10" x14ac:dyDescent="0.25">
      <c r="B130" s="7">
        <v>16.03</v>
      </c>
      <c r="C130" s="8" t="s">
        <v>291</v>
      </c>
      <c r="D130" s="9">
        <v>2</v>
      </c>
      <c r="E130" s="9">
        <v>0</v>
      </c>
      <c r="F130" s="9">
        <v>0</v>
      </c>
      <c r="G130" s="9" t="str">
        <f t="shared" si="10"/>
        <v>Medium</v>
      </c>
      <c r="H130" s="9">
        <f>IF(D130&lt;=GlobalSettings!$C$2,IF(G130="Critical",5,IF(G130="High",3,(IF(G130="Medium",1,0)))),0)</f>
        <v>0</v>
      </c>
      <c r="I130" s="11">
        <f>'Control 16'!F45</f>
        <v>0</v>
      </c>
      <c r="J130" s="11" t="str">
        <f>IF(D130&lt;=GlobalSettings!$C$2,'Control 16'!E47,"")</f>
        <v/>
      </c>
    </row>
    <row r="131" spans="2:10" x14ac:dyDescent="0.25">
      <c r="B131" s="7">
        <v>16.04</v>
      </c>
      <c r="C131" s="8" t="s">
        <v>292</v>
      </c>
      <c r="D131" s="9">
        <v>2</v>
      </c>
      <c r="E131" s="9">
        <v>1</v>
      </c>
      <c r="F131" s="9">
        <v>0</v>
      </c>
      <c r="G131" s="9" t="str">
        <f t="shared" si="10"/>
        <v>High</v>
      </c>
      <c r="H131" s="9">
        <f>IF(D131&lt;=GlobalSettings!$C$2,IF(G131="Critical",5,IF(G131="High",3,(IF(G131="Medium",1,0)))),0)</f>
        <v>0</v>
      </c>
      <c r="I131" s="11">
        <f>'Control 16'!F58</f>
        <v>0</v>
      </c>
      <c r="J131" s="11" t="str">
        <f>IF(D131&lt;=GlobalSettings!$C$2,'Control 16'!E60,"")</f>
        <v/>
      </c>
    </row>
    <row r="132" spans="2:10" x14ac:dyDescent="0.25">
      <c r="B132" s="7">
        <v>16.05</v>
      </c>
      <c r="C132" s="8" t="s">
        <v>293</v>
      </c>
      <c r="D132" s="9">
        <v>2</v>
      </c>
      <c r="E132" s="9">
        <v>0</v>
      </c>
      <c r="F132" s="9">
        <v>0</v>
      </c>
      <c r="G132" s="9" t="str">
        <f t="shared" ref="G132:G155" si="11">IF(OR(E132&gt;10,F132&gt;5),"Critical",IF(OR(AND(E132&gt;0,E132&lt;11),AND(F132&gt;0,F132&lt;6)),"High","Medium"))</f>
        <v>Medium</v>
      </c>
      <c r="H132" s="9">
        <f>IF(D132&lt;=GlobalSettings!$C$2,IF(G132="Critical",5,IF(G132="High",3,(IF(G132="Medium",1,0)))),0)</f>
        <v>0</v>
      </c>
      <c r="I132" s="11">
        <f>'Control 16'!F68</f>
        <v>0</v>
      </c>
      <c r="J132" s="11" t="str">
        <f>IF(D132&lt;=GlobalSettings!$C$2,'Control 16'!E70,"")</f>
        <v/>
      </c>
    </row>
    <row r="133" spans="2:10" x14ac:dyDescent="0.25">
      <c r="B133" s="7">
        <v>16.059999999999999</v>
      </c>
      <c r="C133" s="8" t="s">
        <v>294</v>
      </c>
      <c r="D133" s="9">
        <v>2</v>
      </c>
      <c r="E133" s="9">
        <v>0</v>
      </c>
      <c r="F133" s="9">
        <v>0</v>
      </c>
      <c r="G133" s="9" t="str">
        <f t="shared" si="11"/>
        <v>Medium</v>
      </c>
      <c r="H133" s="9">
        <f>IF(D133&lt;=GlobalSettings!$C$2,IF(G133="Critical",5,IF(G133="High",3,(IF(G133="Medium",1,0)))),0)</f>
        <v>0</v>
      </c>
      <c r="I133" s="11">
        <f>'Control 16'!F77</f>
        <v>0</v>
      </c>
      <c r="J133" s="11" t="str">
        <f>IF(D133&lt;=GlobalSettings!$C$2,'Control 16'!E79,"")</f>
        <v/>
      </c>
    </row>
    <row r="134" spans="2:10" x14ac:dyDescent="0.25">
      <c r="B134" s="7">
        <v>16.07</v>
      </c>
      <c r="C134" s="8" t="s">
        <v>295</v>
      </c>
      <c r="D134" s="9">
        <v>2</v>
      </c>
      <c r="E134" s="9">
        <v>0</v>
      </c>
      <c r="F134" s="9">
        <v>0</v>
      </c>
      <c r="G134" s="9" t="str">
        <f t="shared" si="11"/>
        <v>Medium</v>
      </c>
      <c r="H134" s="9">
        <f>IF(D134&lt;=GlobalSettings!$C$2,IF(G134="Critical",5,IF(G134="High",3,(IF(G134="Medium",1,0)))),0)</f>
        <v>0</v>
      </c>
      <c r="I134" s="11">
        <f>'Control 16'!F86</f>
        <v>0</v>
      </c>
      <c r="J134" s="11" t="str">
        <f>IF(D134&lt;=GlobalSettings!$C$2,'Control 16'!E88,"")</f>
        <v/>
      </c>
    </row>
    <row r="135" spans="2:10" x14ac:dyDescent="0.25">
      <c r="B135" s="7">
        <v>16.079999999999998</v>
      </c>
      <c r="C135" s="8" t="s">
        <v>296</v>
      </c>
      <c r="D135" s="9">
        <v>2</v>
      </c>
      <c r="E135" s="9">
        <v>0</v>
      </c>
      <c r="F135" s="9">
        <v>1</v>
      </c>
      <c r="G135" s="9" t="str">
        <f t="shared" si="11"/>
        <v>High</v>
      </c>
      <c r="H135" s="9">
        <f>IF(D135&lt;=GlobalSettings!$C$2,IF(G135="Critical",5,IF(G135="High",3,(IF(G135="Medium",1,0)))),0)</f>
        <v>0</v>
      </c>
      <c r="I135" s="11">
        <f>'Control 16'!F95</f>
        <v>0</v>
      </c>
      <c r="J135" s="11" t="str">
        <f>IF(D135&lt;=GlobalSettings!$C$2,'Control 16'!E97,"")</f>
        <v/>
      </c>
    </row>
    <row r="136" spans="2:10" x14ac:dyDescent="0.25">
      <c r="B136" s="7">
        <v>16.09</v>
      </c>
      <c r="C136" s="8" t="s">
        <v>297</v>
      </c>
      <c r="D136" s="9">
        <v>2</v>
      </c>
      <c r="E136" s="9">
        <v>0</v>
      </c>
      <c r="F136" s="9">
        <v>2</v>
      </c>
      <c r="G136" s="9" t="str">
        <f t="shared" si="11"/>
        <v>High</v>
      </c>
      <c r="H136" s="9">
        <f>IF(D136&lt;=GlobalSettings!$C$2,IF(G136="Critical",5,IF(G136="High",3,(IF(G136="Medium",1,0)))),0)</f>
        <v>0</v>
      </c>
      <c r="I136" s="11">
        <f>'Control 16'!F106</f>
        <v>0</v>
      </c>
      <c r="J136" s="11" t="str">
        <f>IF(D136&lt;=GlobalSettings!$C$2,'Control 16'!E108,"")</f>
        <v/>
      </c>
    </row>
    <row r="137" spans="2:10" x14ac:dyDescent="0.25">
      <c r="B137" s="7">
        <v>16.100000000000001</v>
      </c>
      <c r="C137" s="8" t="s">
        <v>298</v>
      </c>
      <c r="D137" s="9">
        <v>2</v>
      </c>
      <c r="E137" s="9">
        <v>0</v>
      </c>
      <c r="F137" s="9">
        <v>3</v>
      </c>
      <c r="G137" s="9" t="str">
        <f t="shared" si="11"/>
        <v>High</v>
      </c>
      <c r="H137" s="9">
        <f>IF(D137&lt;=GlobalSettings!$C$2,IF(G137="Critical",5,IF(G137="High",3,(IF(G137="Medium",1,0)))),0)</f>
        <v>0</v>
      </c>
      <c r="I137" s="11">
        <f>'Control 16'!F116</f>
        <v>0</v>
      </c>
      <c r="J137" s="11" t="str">
        <f>IF(D137&lt;=GlobalSettings!$C$2,'Control 16'!E118,"")</f>
        <v/>
      </c>
    </row>
    <row r="138" spans="2:10" x14ac:dyDescent="0.25">
      <c r="B138" s="7">
        <v>16.11</v>
      </c>
      <c r="C138" s="8" t="s">
        <v>299</v>
      </c>
      <c r="D138" s="9">
        <v>2</v>
      </c>
      <c r="E138" s="9">
        <v>0</v>
      </c>
      <c r="F138" s="9">
        <v>0</v>
      </c>
      <c r="G138" s="9" t="str">
        <f t="shared" si="11"/>
        <v>Medium</v>
      </c>
      <c r="H138" s="9">
        <f>IF(D138&lt;=GlobalSettings!$C$2,IF(G138="Critical",5,IF(G138="High",3,(IF(G138="Medium",1,0)))),0)</f>
        <v>0</v>
      </c>
      <c r="I138" s="11">
        <f>'Control 16'!F127</f>
        <v>0</v>
      </c>
      <c r="J138" s="11" t="str">
        <f>IF(D138&lt;=GlobalSettings!$C$2,'Control 16'!E129,"")</f>
        <v/>
      </c>
    </row>
    <row r="139" spans="2:10" x14ac:dyDescent="0.25">
      <c r="B139" s="7">
        <v>16.12</v>
      </c>
      <c r="C139" s="8" t="s">
        <v>300</v>
      </c>
      <c r="D139" s="9">
        <v>3</v>
      </c>
      <c r="E139" s="9">
        <v>0</v>
      </c>
      <c r="F139" s="9">
        <v>0</v>
      </c>
      <c r="G139" s="9" t="str">
        <f t="shared" si="11"/>
        <v>Medium</v>
      </c>
      <c r="H139" s="9">
        <f>IF(D139&lt;=GlobalSettings!$C$2,IF(G139="Critical",5,IF(G139="High",3,(IF(G139="Medium",1,0)))),0)</f>
        <v>0</v>
      </c>
      <c r="I139" s="11">
        <f>'Control 16'!F139</f>
        <v>0</v>
      </c>
      <c r="J139" s="11" t="str">
        <f>IF(D139&lt;=GlobalSettings!$C$2,'Control 16'!E141,"")</f>
        <v/>
      </c>
    </row>
    <row r="140" spans="2:10" x14ac:dyDescent="0.25">
      <c r="B140" s="7">
        <v>16.13</v>
      </c>
      <c r="C140" s="8" t="s">
        <v>301</v>
      </c>
      <c r="D140" s="9">
        <v>3</v>
      </c>
      <c r="E140" s="9">
        <v>0</v>
      </c>
      <c r="F140" s="9">
        <v>0</v>
      </c>
      <c r="G140" s="9" t="str">
        <f t="shared" si="11"/>
        <v>Medium</v>
      </c>
      <c r="H140" s="9">
        <f>IF(D140&lt;=GlobalSettings!$C$2,IF(G140="Critical",5,IF(G140="High",3,(IF(G140="Medium",1,0)))),0)</f>
        <v>0</v>
      </c>
      <c r="I140" s="11">
        <f>'Control 16'!F153</f>
        <v>0</v>
      </c>
      <c r="J140" s="11" t="str">
        <f>IF(D140&lt;=GlobalSettings!$C$2,'Control 16'!E155,"")</f>
        <v/>
      </c>
    </row>
    <row r="141" spans="2:10" x14ac:dyDescent="0.25">
      <c r="B141" s="16">
        <v>16.14</v>
      </c>
      <c r="C141" s="17" t="s">
        <v>302</v>
      </c>
      <c r="D141" s="18">
        <v>3</v>
      </c>
      <c r="E141" s="18">
        <v>0</v>
      </c>
      <c r="F141" s="18">
        <v>0</v>
      </c>
      <c r="G141" s="18" t="str">
        <f t="shared" si="11"/>
        <v>Medium</v>
      </c>
      <c r="H141" s="18">
        <f>IF(D141&lt;=GlobalSettings!$C$2,IF(G141="Critical",5,IF(G141="High",3,(IF(G141="Medium",1,0)))),0)</f>
        <v>0</v>
      </c>
      <c r="I141" s="19">
        <f>'Control 16'!F163</f>
        <v>0</v>
      </c>
      <c r="J141" s="19" t="str">
        <f>IF(D141&lt;=GlobalSettings!$C$2,'Control 16'!E165,"")</f>
        <v/>
      </c>
    </row>
    <row r="142" spans="2:10" x14ac:dyDescent="0.25">
      <c r="B142" s="12">
        <v>17.010000000000002</v>
      </c>
      <c r="C142" s="13" t="s">
        <v>303</v>
      </c>
      <c r="D142" s="14">
        <v>1</v>
      </c>
      <c r="E142" s="14">
        <v>0</v>
      </c>
      <c r="F142" s="14">
        <v>0</v>
      </c>
      <c r="G142" s="14" t="str">
        <f t="shared" si="11"/>
        <v>Medium</v>
      </c>
      <c r="H142" s="14">
        <f>IF(OR(GlobalSettings!$C$2=0,D142&lt;=GlobalSettings!$C$2),IF(G142="Critical",5,IF(G142="High",3,(IF(G142="Medium",1,0)))),0)</f>
        <v>1</v>
      </c>
      <c r="I142" s="15">
        <f>'Control 17'!F12</f>
        <v>0</v>
      </c>
      <c r="J142" s="15" t="str">
        <f>IF(OR(GlobalSettings!$C$2=0,D142&lt;=GlobalSettings!$C$2),'Control 17'!E14,"")</f>
        <v>Safeguard Scoring Incomplete</v>
      </c>
    </row>
    <row r="143" spans="2:10" x14ac:dyDescent="0.25">
      <c r="B143" s="7">
        <v>17.02</v>
      </c>
      <c r="C143" s="8" t="s">
        <v>304</v>
      </c>
      <c r="D143" s="9">
        <v>1</v>
      </c>
      <c r="E143" s="9">
        <v>0</v>
      </c>
      <c r="F143" s="9">
        <v>0</v>
      </c>
      <c r="G143" s="9" t="str">
        <f t="shared" si="11"/>
        <v>Medium</v>
      </c>
      <c r="H143" s="9">
        <f>IF(OR(GlobalSettings!$C$2=0,D143&lt;=GlobalSettings!$C$2),IF(G143="Critical",5,IF(G143="High",3,(IF(G143="Medium",1,0)))),0)</f>
        <v>1</v>
      </c>
      <c r="I143" s="11">
        <f>'Control 17'!F19</f>
        <v>0</v>
      </c>
      <c r="J143" s="11" t="str">
        <f>IF(OR(GlobalSettings!$C$2=0,D143&lt;=GlobalSettings!$C$2),'Control 17'!E21,"")</f>
        <v>Safeguard Scoring Incomplete</v>
      </c>
    </row>
    <row r="144" spans="2:10" x14ac:dyDescent="0.25">
      <c r="B144" s="7">
        <v>17.03</v>
      </c>
      <c r="C144" s="8" t="s">
        <v>305</v>
      </c>
      <c r="D144" s="9">
        <v>1</v>
      </c>
      <c r="E144" s="9">
        <v>0</v>
      </c>
      <c r="F144" s="9">
        <v>0</v>
      </c>
      <c r="G144" s="9" t="str">
        <f t="shared" si="11"/>
        <v>Medium</v>
      </c>
      <c r="H144" s="9">
        <f>IF(OR(GlobalSettings!$C$2=0,D144&lt;=GlobalSettings!$C$2),IF(G144="Critical",5,IF(G144="High",3,(IF(G144="Medium",1,0)))),0)</f>
        <v>1</v>
      </c>
      <c r="I144" s="11">
        <f>'Control 17'!F33</f>
        <v>0</v>
      </c>
      <c r="J144" s="11" t="str">
        <f>IF(OR(GlobalSettings!$C$2=0,D144&lt;=GlobalSettings!$C$2),'Control 17'!E35,"")</f>
        <v>Safeguard Scoring Incomplete</v>
      </c>
    </row>
    <row r="145" spans="2:10" x14ac:dyDescent="0.25">
      <c r="B145" s="7">
        <v>17.04</v>
      </c>
      <c r="C145" s="8" t="s">
        <v>306</v>
      </c>
      <c r="D145" s="9">
        <v>2</v>
      </c>
      <c r="E145" s="9">
        <v>5</v>
      </c>
      <c r="F145" s="9">
        <v>0</v>
      </c>
      <c r="G145" s="9" t="str">
        <f t="shared" si="11"/>
        <v>High</v>
      </c>
      <c r="H145" s="9">
        <f>IF(D145&lt;=GlobalSettings!$C$2,IF(G145="Critical",5,IF(G145="High",3,(IF(G145="Medium",1,0)))),0)</f>
        <v>0</v>
      </c>
      <c r="I145" s="11">
        <f>'Control 17'!F45</f>
        <v>0</v>
      </c>
      <c r="J145" s="11" t="str">
        <f>IF(D145&lt;=GlobalSettings!$C$2,'Control 17'!E47,"")</f>
        <v/>
      </c>
    </row>
    <row r="146" spans="2:10" x14ac:dyDescent="0.25">
      <c r="B146" s="7">
        <v>17.05</v>
      </c>
      <c r="C146" s="8" t="s">
        <v>307</v>
      </c>
      <c r="D146" s="9">
        <v>2</v>
      </c>
      <c r="E146" s="9">
        <v>0</v>
      </c>
      <c r="F146" s="9">
        <v>0</v>
      </c>
      <c r="G146" s="9" t="str">
        <f t="shared" si="11"/>
        <v>Medium</v>
      </c>
      <c r="H146" s="9">
        <f>IF(D146&lt;=GlobalSettings!$C$2,IF(G146="Critical",5,IF(G146="High",3,(IF(G146="Medium",1,0)))),0)</f>
        <v>0</v>
      </c>
      <c r="I146" s="11">
        <f>'Control 17'!F56</f>
        <v>0</v>
      </c>
      <c r="J146" s="11" t="str">
        <f>IF(D146&lt;=GlobalSettings!$C$2,'Control 17'!E58,"")</f>
        <v/>
      </c>
    </row>
    <row r="147" spans="2:10" x14ac:dyDescent="0.25">
      <c r="B147" s="7">
        <v>17.059999999999999</v>
      </c>
      <c r="C147" s="8" t="s">
        <v>308</v>
      </c>
      <c r="D147" s="9">
        <v>2</v>
      </c>
      <c r="E147" s="9">
        <v>0</v>
      </c>
      <c r="F147" s="9">
        <v>0</v>
      </c>
      <c r="G147" s="9" t="str">
        <f t="shared" si="11"/>
        <v>Medium</v>
      </c>
      <c r="H147" s="9">
        <f>IF(D147&lt;=GlobalSettings!$C$2,IF(G147="Critical",5,IF(G147="High",3,(IF(G147="Medium",1,0)))),0)</f>
        <v>0</v>
      </c>
      <c r="I147" s="11">
        <f>'Control 17'!F67</f>
        <v>0</v>
      </c>
      <c r="J147" s="11" t="str">
        <f>IF(D147&lt;=GlobalSettings!$C$2,'Control 17'!E69,"")</f>
        <v/>
      </c>
    </row>
    <row r="148" spans="2:10" x14ac:dyDescent="0.25">
      <c r="B148" s="7">
        <v>17.07</v>
      </c>
      <c r="C148" s="8" t="s">
        <v>309</v>
      </c>
      <c r="D148" s="9">
        <v>2</v>
      </c>
      <c r="E148" s="9">
        <v>0</v>
      </c>
      <c r="F148" s="9">
        <v>0</v>
      </c>
      <c r="G148" s="9" t="str">
        <f t="shared" si="11"/>
        <v>Medium</v>
      </c>
      <c r="H148" s="9">
        <f>IF(D148&lt;=GlobalSettings!$C$2,IF(G148="Critical",5,IF(G148="High",3,(IF(G148="Medium",1,0)))),0)</f>
        <v>0</v>
      </c>
      <c r="I148" s="11">
        <f>'Control 17'!F79</f>
        <v>0</v>
      </c>
      <c r="J148" s="11" t="str">
        <f>IF(D148&lt;=GlobalSettings!$C$2,'Control 17'!E81,"")</f>
        <v/>
      </c>
    </row>
    <row r="149" spans="2:10" x14ac:dyDescent="0.25">
      <c r="B149" s="7">
        <v>17.079999999999998</v>
      </c>
      <c r="C149" s="8" t="s">
        <v>310</v>
      </c>
      <c r="D149" s="9">
        <v>2</v>
      </c>
      <c r="E149" s="9">
        <v>0</v>
      </c>
      <c r="F149" s="9">
        <v>0</v>
      </c>
      <c r="G149" s="9" t="str">
        <f t="shared" si="11"/>
        <v>Medium</v>
      </c>
      <c r="H149" s="9">
        <f>IF(D149&lt;=GlobalSettings!$C$2,IF(G149="Critical",5,IF(G149="High",3,(IF(G149="Medium",1,0)))),0)</f>
        <v>0</v>
      </c>
      <c r="I149" s="11">
        <f>'Control 17'!F89</f>
        <v>0</v>
      </c>
      <c r="J149" s="11" t="str">
        <f>IF(D149&lt;=GlobalSettings!$C$2,'Control 17'!E91,"")</f>
        <v/>
      </c>
    </row>
    <row r="150" spans="2:10" x14ac:dyDescent="0.25">
      <c r="B150" s="16">
        <v>17.09</v>
      </c>
      <c r="C150" s="17" t="s">
        <v>311</v>
      </c>
      <c r="D150" s="18">
        <v>3</v>
      </c>
      <c r="E150" s="18">
        <v>0</v>
      </c>
      <c r="F150" s="18">
        <v>0</v>
      </c>
      <c r="G150" s="18" t="str">
        <f t="shared" si="11"/>
        <v>Medium</v>
      </c>
      <c r="H150" s="18">
        <f>IF(D150&lt;=GlobalSettings!$C$2,IF(G150="Critical",5,IF(G150="High",3,(IF(G150="Medium",1,0)))),0)</f>
        <v>0</v>
      </c>
      <c r="I150" s="19">
        <f>'Control 17'!F102</f>
        <v>0</v>
      </c>
      <c r="J150" s="19" t="str">
        <f>IF(D150&lt;=GlobalSettings!$C$2,'Control 17'!E104,"")</f>
        <v/>
      </c>
    </row>
    <row r="151" spans="2:10" x14ac:dyDescent="0.25">
      <c r="B151" s="12">
        <v>18.010000000000002</v>
      </c>
      <c r="C151" s="13" t="s">
        <v>312</v>
      </c>
      <c r="D151" s="14">
        <v>2</v>
      </c>
      <c r="E151" s="14">
        <v>3</v>
      </c>
      <c r="F151" s="14">
        <v>0</v>
      </c>
      <c r="G151" s="14" t="str">
        <f t="shared" si="11"/>
        <v>High</v>
      </c>
      <c r="H151" s="14">
        <f>IF(D151&lt;=GlobalSettings!$C$2,IF(G151="Critical",5,IF(G151="High",3,(IF(G151="Medium",1,0)))),0)</f>
        <v>0</v>
      </c>
      <c r="I151" s="15">
        <f>'Control 18'!F14</f>
        <v>0</v>
      </c>
      <c r="J151" s="15" t="str">
        <f>IF(D151&lt;=GlobalSettings!$C$2,'Control 18'!E16,"")</f>
        <v/>
      </c>
    </row>
    <row r="152" spans="2:10" x14ac:dyDescent="0.25">
      <c r="B152" s="7">
        <v>18.02</v>
      </c>
      <c r="C152" s="8" t="s">
        <v>313</v>
      </c>
      <c r="D152" s="9">
        <v>2</v>
      </c>
      <c r="E152" s="9">
        <v>1</v>
      </c>
      <c r="F152" s="9">
        <v>0</v>
      </c>
      <c r="G152" s="9" t="str">
        <f t="shared" si="11"/>
        <v>High</v>
      </c>
      <c r="H152" s="9">
        <f>IF(OR(GlobalSettings!$C$2=0,D152&lt;=GlobalSettings!$C$2),IF(G152="Critical",5,IF(G152="High",3,(IF(G152="Medium",1,0)))),0)</f>
        <v>3</v>
      </c>
      <c r="I152" s="11">
        <f>'Control 18'!F20</f>
        <v>0</v>
      </c>
      <c r="J152" s="11" t="str">
        <f>IF(OR(GlobalSettings!$C$2=0,D152&lt;=GlobalSettings!$C$2),'Control 18'!E22,"")</f>
        <v>Safeguard Scoring Incomplete</v>
      </c>
    </row>
    <row r="153" spans="2:10" x14ac:dyDescent="0.25">
      <c r="B153" s="7">
        <v>18.03</v>
      </c>
      <c r="C153" s="8" t="s">
        <v>314</v>
      </c>
      <c r="D153" s="9">
        <v>2</v>
      </c>
      <c r="E153" s="9">
        <v>0</v>
      </c>
      <c r="F153" s="9">
        <v>8</v>
      </c>
      <c r="G153" s="9" t="str">
        <f t="shared" si="11"/>
        <v>Critical</v>
      </c>
      <c r="H153" s="9">
        <f>IF(D153&lt;=GlobalSettings!$C$2,IF(G153="Critical",5,IF(G153="High",3,(IF(G153="Medium",1,0)))),0)</f>
        <v>0</v>
      </c>
      <c r="I153" s="11">
        <f>'Control 18'!F31</f>
        <v>0</v>
      </c>
      <c r="J153" s="11" t="str">
        <f>IF(D153&lt;=GlobalSettings!$C$2,'Control 18'!E33,"")</f>
        <v/>
      </c>
    </row>
    <row r="154" spans="2:10" x14ac:dyDescent="0.25">
      <c r="B154" s="7">
        <v>18.04</v>
      </c>
      <c r="C154" s="8" t="s">
        <v>315</v>
      </c>
      <c r="D154" s="9">
        <v>3</v>
      </c>
      <c r="E154" s="9">
        <v>0</v>
      </c>
      <c r="F154" s="9">
        <v>0</v>
      </c>
      <c r="G154" s="9" t="str">
        <f t="shared" si="11"/>
        <v>Medium</v>
      </c>
      <c r="H154" s="9">
        <f>IF(D154&lt;=GlobalSettings!$C$2,IF(G154="Critical",5,IF(G154="High",3,(IF(G154="Medium",1,0)))),0)</f>
        <v>0</v>
      </c>
      <c r="I154" s="11">
        <f>'Control 18'!F41</f>
        <v>0</v>
      </c>
      <c r="J154" s="11" t="str">
        <f>IF(D154&lt;=GlobalSettings!$C$2,'Control 18'!E43,"")</f>
        <v/>
      </c>
    </row>
    <row r="155" spans="2:10" x14ac:dyDescent="0.25">
      <c r="B155" s="16">
        <v>18.05</v>
      </c>
      <c r="C155" s="17" t="s">
        <v>316</v>
      </c>
      <c r="D155" s="18">
        <v>3</v>
      </c>
      <c r="E155" s="18">
        <v>0</v>
      </c>
      <c r="F155" s="18">
        <v>8</v>
      </c>
      <c r="G155" s="18" t="str">
        <f t="shared" si="11"/>
        <v>Critical</v>
      </c>
      <c r="H155" s="18">
        <f>IF(D155&lt;=GlobalSettings!$C$2,IF(G155="Critical",5,IF(G155="High",3,(IF(G155="Medium",1,0)))),0)</f>
        <v>0</v>
      </c>
      <c r="I155" s="19">
        <f>'Control 18'!F47</f>
        <v>0</v>
      </c>
      <c r="J155" s="19" t="str">
        <f>IF(D155&lt;=GlobalSettings!$C$2,'Control 18'!E49,"")</f>
        <v/>
      </c>
    </row>
  </sheetData>
  <sheetProtection algorithmName="SHA-512" hashValue="ZkRd7GNMhVGcKj11ZvsNReaVNuSR+VfFBB/shGZrhGW9cln9ov3S4edBPn4Lm0RIz6y55JQ3boB1QH7KIykhPw==" saltValue="HUJBO3E89N6m4IjD/Fsydg==" spinCount="100000" sheet="1" selectLockedCells="1"/>
  <mergeCells count="1">
    <mergeCell ref="B2:C2"/>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2:G68"/>
  <sheetViews>
    <sheetView topLeftCell="E8" workbookViewId="0">
      <selection activeCell="E57" sqref="E57"/>
    </sheetView>
  </sheetViews>
  <sheetFormatPr defaultColWidth="9.140625" defaultRowHeight="15" x14ac:dyDescent="0.25"/>
  <cols>
    <col min="1" max="2" width="2.7109375" style="64" customWidth="1"/>
    <col min="3" max="4" width="5.7109375" style="112" customWidth="1"/>
    <col min="5" max="5" width="90.7109375" style="112" customWidth="1"/>
    <col min="6" max="6" width="15.7109375" style="56" customWidth="1"/>
    <col min="7" max="7" width="120.7109375" style="150" customWidth="1"/>
    <col min="8" max="16384" width="9.140625" style="1"/>
  </cols>
  <sheetData>
    <row r="2" spans="1:7" ht="15.75" x14ac:dyDescent="0.25">
      <c r="C2" s="214" t="s">
        <v>317</v>
      </c>
      <c r="D2" s="214"/>
      <c r="E2" s="214"/>
      <c r="F2" s="100" t="s">
        <v>318</v>
      </c>
      <c r="G2" s="208" t="s">
        <v>2185</v>
      </c>
    </row>
    <row r="3" spans="1:7" x14ac:dyDescent="0.25">
      <c r="F3" s="112"/>
    </row>
    <row r="4" spans="1:7" x14ac:dyDescent="0.25">
      <c r="A4" s="64">
        <v>0</v>
      </c>
      <c r="B4" s="64">
        <v>1</v>
      </c>
      <c r="C4" s="113">
        <v>1.01</v>
      </c>
      <c r="D4" s="213" t="s">
        <v>319</v>
      </c>
      <c r="E4" s="213"/>
      <c r="F4" s="114" t="s">
        <v>320</v>
      </c>
      <c r="G4" s="26" t="s">
        <v>321</v>
      </c>
    </row>
    <row r="5" spans="1:7" x14ac:dyDescent="0.25">
      <c r="A5" s="64">
        <v>0</v>
      </c>
      <c r="B5" s="64">
        <v>1</v>
      </c>
      <c r="D5" s="115" t="s">
        <v>322</v>
      </c>
      <c r="E5" s="115" t="s">
        <v>323</v>
      </c>
      <c r="F5" s="57">
        <f>IF(Artifacts!$E$3="Artifact Provided",1,0)</f>
        <v>0</v>
      </c>
      <c r="G5" s="76" t="s">
        <v>324</v>
      </c>
    </row>
    <row r="6" spans="1:7" x14ac:dyDescent="0.25">
      <c r="A6" s="64">
        <v>0</v>
      </c>
      <c r="B6" s="64">
        <v>1</v>
      </c>
      <c r="D6" s="115" t="s">
        <v>325</v>
      </c>
      <c r="E6" s="115" t="s">
        <v>326</v>
      </c>
      <c r="F6" s="58"/>
      <c r="G6" s="78"/>
    </row>
    <row r="7" spans="1:7" ht="30" x14ac:dyDescent="0.25">
      <c r="A7" s="64">
        <v>0</v>
      </c>
      <c r="B7" s="64">
        <v>1</v>
      </c>
      <c r="D7" s="115" t="s">
        <v>327</v>
      </c>
      <c r="E7" s="115" t="s">
        <v>328</v>
      </c>
      <c r="F7" s="58"/>
      <c r="G7" s="78" t="s">
        <v>329</v>
      </c>
    </row>
    <row r="8" spans="1:7" x14ac:dyDescent="0.25">
      <c r="A8" s="64">
        <v>0</v>
      </c>
      <c r="B8" s="64">
        <v>1</v>
      </c>
      <c r="D8" s="115" t="s">
        <v>330</v>
      </c>
      <c r="E8" s="115" t="s">
        <v>331</v>
      </c>
      <c r="F8" s="58"/>
      <c r="G8" s="143"/>
    </row>
    <row r="9" spans="1:7" x14ac:dyDescent="0.25">
      <c r="A9" s="64">
        <v>0</v>
      </c>
      <c r="B9" s="64">
        <v>1</v>
      </c>
      <c r="D9" s="115" t="s">
        <v>332</v>
      </c>
      <c r="E9" s="115" t="s">
        <v>333</v>
      </c>
      <c r="F9" s="57">
        <f>F6-F8</f>
        <v>0</v>
      </c>
      <c r="G9" s="76" t="s">
        <v>334</v>
      </c>
    </row>
    <row r="10" spans="1:7" x14ac:dyDescent="0.25">
      <c r="A10" s="64">
        <v>0</v>
      </c>
      <c r="B10" s="64">
        <v>1</v>
      </c>
      <c r="D10" s="115" t="s">
        <v>335</v>
      </c>
      <c r="E10" s="115" t="s">
        <v>336</v>
      </c>
      <c r="F10" s="57">
        <f>F7-F8</f>
        <v>0</v>
      </c>
      <c r="G10" s="76" t="s">
        <v>337</v>
      </c>
    </row>
    <row r="11" spans="1:7" ht="30" x14ac:dyDescent="0.25">
      <c r="A11" s="64">
        <v>0</v>
      </c>
      <c r="B11" s="64">
        <v>1</v>
      </c>
      <c r="D11" s="115" t="s">
        <v>338</v>
      </c>
      <c r="E11" s="115" t="s">
        <v>339</v>
      </c>
      <c r="F11" s="58"/>
      <c r="G11" s="32" t="s">
        <v>340</v>
      </c>
    </row>
    <row r="12" spans="1:7" x14ac:dyDescent="0.25">
      <c r="A12" s="64">
        <v>0</v>
      </c>
      <c r="B12" s="64">
        <v>1</v>
      </c>
      <c r="D12" s="115" t="s">
        <v>341</v>
      </c>
      <c r="E12" s="115" t="s">
        <v>342</v>
      </c>
      <c r="F12" s="57">
        <f>(F6*5)-F11</f>
        <v>0</v>
      </c>
      <c r="G12" s="76" t="s">
        <v>343</v>
      </c>
    </row>
    <row r="13" spans="1:7" ht="15.75" thickBot="1" x14ac:dyDescent="0.3">
      <c r="A13" s="64">
        <v>0</v>
      </c>
      <c r="B13" s="64">
        <v>1</v>
      </c>
      <c r="D13" s="115" t="s">
        <v>344</v>
      </c>
      <c r="E13" s="116" t="s">
        <v>345</v>
      </c>
      <c r="F13" s="59">
        <f>DATEDIF(Artifacts!$F$3,GlobalSettings!$C$4,"m")</f>
        <v>1508</v>
      </c>
      <c r="G13" s="77" t="s">
        <v>346</v>
      </c>
    </row>
    <row r="14" spans="1:7" ht="15.75" thickBot="1" x14ac:dyDescent="0.3">
      <c r="A14" s="64">
        <v>0</v>
      </c>
      <c r="B14" s="64">
        <v>1</v>
      </c>
      <c r="E14" s="117" t="s">
        <v>347</v>
      </c>
      <c r="F14" s="111">
        <f>IFERROR(F8/F7,0)</f>
        <v>0</v>
      </c>
      <c r="G14" s="160" t="s">
        <v>348</v>
      </c>
    </row>
    <row r="15" spans="1:7" ht="15.75" thickBot="1" x14ac:dyDescent="0.3">
      <c r="A15" s="64">
        <v>0</v>
      </c>
      <c r="B15" s="64">
        <v>1</v>
      </c>
      <c r="E15" s="117" t="s">
        <v>349</v>
      </c>
      <c r="F15" s="111">
        <f>IFERROR(F11/(F6*5),0)</f>
        <v>0</v>
      </c>
      <c r="G15" s="160" t="s">
        <v>350</v>
      </c>
    </row>
    <row r="16" spans="1:7" ht="30.75" thickBot="1" x14ac:dyDescent="0.3">
      <c r="A16" s="64">
        <v>0</v>
      </c>
      <c r="B16" s="64">
        <v>1</v>
      </c>
      <c r="E16" s="118" t="s">
        <v>351</v>
      </c>
      <c r="F16" s="111">
        <f>IF(F5=0,0,IF(F13&lt;=6,AVERAGE(F14,F15),IF(GlobalSettings!$C$12="No",0,AVERAGE(F14,F15)*0.5)))</f>
        <v>0</v>
      </c>
      <c r="G16" s="160" t="s">
        <v>2063</v>
      </c>
    </row>
    <row r="18" spans="1:7" ht="45" customHeight="1" x14ac:dyDescent="0.25">
      <c r="A18" s="64">
        <v>0</v>
      </c>
      <c r="B18" s="64">
        <v>1</v>
      </c>
      <c r="E18" s="152" t="s">
        <v>2080</v>
      </c>
      <c r="F18" s="147" t="s">
        <v>2053</v>
      </c>
      <c r="G18" s="159"/>
    </row>
    <row r="20" spans="1:7" x14ac:dyDescent="0.25">
      <c r="A20" s="64">
        <v>0</v>
      </c>
      <c r="B20" s="64">
        <v>1</v>
      </c>
      <c r="C20" s="113">
        <v>1.02</v>
      </c>
      <c r="D20" s="213" t="s">
        <v>143</v>
      </c>
      <c r="E20" s="213"/>
      <c r="F20" s="114" t="s">
        <v>320</v>
      </c>
      <c r="G20" s="26" t="s">
        <v>321</v>
      </c>
    </row>
    <row r="21" spans="1:7" x14ac:dyDescent="0.25">
      <c r="A21" s="64">
        <v>0</v>
      </c>
      <c r="B21" s="64">
        <v>1</v>
      </c>
      <c r="D21" s="115" t="s">
        <v>322</v>
      </c>
      <c r="E21" s="115" t="s">
        <v>323</v>
      </c>
      <c r="F21" s="57">
        <f>IF(Artifacts!$E$3="Artifact Provided",1,0)</f>
        <v>0</v>
      </c>
      <c r="G21" s="76" t="s">
        <v>324</v>
      </c>
    </row>
    <row r="22" spans="1:7" x14ac:dyDescent="0.25">
      <c r="A22" s="64">
        <v>0</v>
      </c>
      <c r="B22" s="64">
        <v>1</v>
      </c>
      <c r="D22" s="115" t="s">
        <v>327</v>
      </c>
      <c r="E22" s="115" t="s">
        <v>352</v>
      </c>
      <c r="F22" s="57">
        <f>F10</f>
        <v>0</v>
      </c>
      <c r="G22" s="76" t="s">
        <v>353</v>
      </c>
    </row>
    <row r="23" spans="1:7" x14ac:dyDescent="0.25">
      <c r="A23" s="64">
        <v>0</v>
      </c>
      <c r="B23" s="64">
        <v>1</v>
      </c>
      <c r="D23" s="115" t="s">
        <v>330</v>
      </c>
      <c r="E23" s="115" t="s">
        <v>354</v>
      </c>
      <c r="F23" s="58"/>
      <c r="G23" s="78"/>
    </row>
    <row r="24" spans="1:7" ht="15.75" thickBot="1" x14ac:dyDescent="0.3">
      <c r="A24" s="64">
        <v>0</v>
      </c>
      <c r="B24" s="64">
        <v>1</v>
      </c>
      <c r="D24" s="115" t="s">
        <v>332</v>
      </c>
      <c r="E24" s="116" t="s">
        <v>355</v>
      </c>
      <c r="F24" s="119"/>
      <c r="G24" s="161"/>
    </row>
    <row r="25" spans="1:7" ht="15.75" thickBot="1" x14ac:dyDescent="0.3">
      <c r="A25" s="64">
        <v>0</v>
      </c>
      <c r="B25" s="64">
        <v>1</v>
      </c>
      <c r="E25" s="117" t="s">
        <v>356</v>
      </c>
      <c r="F25" s="111">
        <f>IFERROR(F24/F22,0)</f>
        <v>0</v>
      </c>
      <c r="G25" s="160" t="s">
        <v>357</v>
      </c>
    </row>
    <row r="26" spans="1:7" ht="15.75" thickBot="1" x14ac:dyDescent="0.3">
      <c r="A26" s="64">
        <v>0</v>
      </c>
      <c r="B26" s="64">
        <v>1</v>
      </c>
      <c r="E26" s="118" t="s">
        <v>358</v>
      </c>
      <c r="F26" s="111">
        <f>IF(OR(F21=0,F23&lt;&gt;1),0,IF(F23&gt;7,0,(1-F25)))</f>
        <v>0</v>
      </c>
      <c r="G26" s="160" t="s">
        <v>2108</v>
      </c>
    </row>
    <row r="28" spans="1:7" ht="45" customHeight="1" x14ac:dyDescent="0.25">
      <c r="A28" s="64">
        <v>0</v>
      </c>
      <c r="B28" s="64">
        <v>1</v>
      </c>
      <c r="E28" s="152" t="s">
        <v>2080</v>
      </c>
      <c r="F28" s="147" t="s">
        <v>2053</v>
      </c>
      <c r="G28" s="159"/>
    </row>
    <row r="30" spans="1:7" x14ac:dyDescent="0.25">
      <c r="A30" s="64">
        <v>9</v>
      </c>
      <c r="B30" s="64">
        <v>2</v>
      </c>
      <c r="C30" s="113">
        <v>1.03</v>
      </c>
      <c r="D30" s="213" t="s">
        <v>145</v>
      </c>
      <c r="E30" s="213"/>
      <c r="F30" s="114" t="s">
        <v>320</v>
      </c>
      <c r="G30" s="26" t="s">
        <v>321</v>
      </c>
    </row>
    <row r="31" spans="1:7" x14ac:dyDescent="0.25">
      <c r="A31" s="64">
        <v>9</v>
      </c>
      <c r="B31" s="64">
        <v>2</v>
      </c>
      <c r="D31" s="115" t="s">
        <v>322</v>
      </c>
      <c r="E31" s="115" t="s">
        <v>2085</v>
      </c>
      <c r="F31" s="58"/>
      <c r="G31" s="78" t="s">
        <v>2086</v>
      </c>
    </row>
    <row r="32" spans="1:7" x14ac:dyDescent="0.25">
      <c r="A32" s="64">
        <v>9</v>
      </c>
      <c r="B32" s="64">
        <v>2</v>
      </c>
      <c r="D32" s="115" t="s">
        <v>327</v>
      </c>
      <c r="E32" s="115" t="s">
        <v>2087</v>
      </c>
      <c r="F32" s="58"/>
      <c r="G32" s="78" t="s">
        <v>2088</v>
      </c>
    </row>
    <row r="33" spans="1:7" x14ac:dyDescent="0.25">
      <c r="A33" s="64">
        <v>9</v>
      </c>
      <c r="B33" s="64">
        <v>2</v>
      </c>
      <c r="D33" s="115" t="s">
        <v>330</v>
      </c>
      <c r="E33" s="115" t="s">
        <v>359</v>
      </c>
      <c r="F33" s="58"/>
      <c r="G33" s="78" t="s">
        <v>360</v>
      </c>
    </row>
    <row r="34" spans="1:7" x14ac:dyDescent="0.25">
      <c r="A34" s="64">
        <v>9</v>
      </c>
      <c r="B34" s="64">
        <v>2</v>
      </c>
      <c r="D34" s="115" t="s">
        <v>332</v>
      </c>
      <c r="E34" s="115" t="s">
        <v>361</v>
      </c>
      <c r="F34" s="57">
        <f>F35-F33</f>
        <v>0</v>
      </c>
      <c r="G34" s="143" t="s">
        <v>362</v>
      </c>
    </row>
    <row r="35" spans="1:7" x14ac:dyDescent="0.25">
      <c r="A35" s="64">
        <v>9</v>
      </c>
      <c r="B35" s="64">
        <v>2</v>
      </c>
      <c r="D35" s="115" t="s">
        <v>335</v>
      </c>
      <c r="E35" s="115" t="s">
        <v>363</v>
      </c>
      <c r="F35" s="58"/>
      <c r="G35" s="78"/>
    </row>
    <row r="36" spans="1:7" x14ac:dyDescent="0.25">
      <c r="A36" s="64">
        <v>9</v>
      </c>
      <c r="B36" s="64">
        <v>2</v>
      </c>
      <c r="D36" s="115" t="s">
        <v>338</v>
      </c>
      <c r="E36" s="115" t="s">
        <v>326</v>
      </c>
      <c r="F36" s="57">
        <f>F6</f>
        <v>0</v>
      </c>
      <c r="G36" s="76" t="s">
        <v>2084</v>
      </c>
    </row>
    <row r="37" spans="1:7" ht="15.75" thickBot="1" x14ac:dyDescent="0.3">
      <c r="A37" s="64">
        <v>9</v>
      </c>
      <c r="B37" s="64">
        <v>2</v>
      </c>
      <c r="D37" s="115" t="s">
        <v>341</v>
      </c>
      <c r="E37" s="116" t="s">
        <v>364</v>
      </c>
      <c r="F37" s="58"/>
      <c r="G37" s="78"/>
    </row>
    <row r="38" spans="1:7" ht="15.75" thickBot="1" x14ac:dyDescent="0.3">
      <c r="A38" s="64">
        <v>9</v>
      </c>
      <c r="B38" s="64">
        <v>2</v>
      </c>
      <c r="E38" s="120" t="s">
        <v>2089</v>
      </c>
      <c r="F38" s="111">
        <f>IFERROR(F32/F31,0)</f>
        <v>0</v>
      </c>
      <c r="G38" s="160" t="s">
        <v>378</v>
      </c>
    </row>
    <row r="39" spans="1:7" ht="15.75" thickBot="1" x14ac:dyDescent="0.3">
      <c r="A39" s="64">
        <v>9</v>
      </c>
      <c r="B39" s="64">
        <v>2</v>
      </c>
      <c r="E39" s="120" t="s">
        <v>2090</v>
      </c>
      <c r="F39" s="111">
        <f>IFERROR(F33/F35,0)</f>
        <v>0</v>
      </c>
      <c r="G39" s="160" t="s">
        <v>366</v>
      </c>
    </row>
    <row r="40" spans="1:7" ht="15.75" thickBot="1" x14ac:dyDescent="0.3">
      <c r="A40" s="64">
        <v>9</v>
      </c>
      <c r="B40" s="64">
        <v>2</v>
      </c>
      <c r="E40" s="121" t="s">
        <v>367</v>
      </c>
      <c r="F40" s="111">
        <f>IF(OR(F35=0,F37&gt;24),0,AVERAGE(F38,F39))</f>
        <v>0</v>
      </c>
      <c r="G40" s="160" t="s">
        <v>368</v>
      </c>
    </row>
    <row r="42" spans="1:7" ht="45" customHeight="1" x14ac:dyDescent="0.25">
      <c r="A42" s="64">
        <v>9</v>
      </c>
      <c r="B42" s="64">
        <v>2</v>
      </c>
      <c r="E42" s="152" t="s">
        <v>2080</v>
      </c>
      <c r="F42" s="147" t="s">
        <v>2053</v>
      </c>
      <c r="G42" s="159"/>
    </row>
    <row r="44" spans="1:7" x14ac:dyDescent="0.25">
      <c r="A44" s="64">
        <v>9</v>
      </c>
      <c r="B44" s="64">
        <v>2</v>
      </c>
      <c r="C44" s="113">
        <v>1.04</v>
      </c>
      <c r="D44" s="213" t="s">
        <v>147</v>
      </c>
      <c r="E44" s="213"/>
      <c r="F44" s="114" t="s">
        <v>320</v>
      </c>
      <c r="G44" s="26" t="s">
        <v>321</v>
      </c>
    </row>
    <row r="45" spans="1:7" x14ac:dyDescent="0.25">
      <c r="A45" s="64">
        <v>9</v>
      </c>
      <c r="B45" s="64">
        <v>2</v>
      </c>
      <c r="D45" s="115" t="s">
        <v>322</v>
      </c>
      <c r="E45" s="115" t="s">
        <v>369</v>
      </c>
      <c r="F45" s="58"/>
      <c r="G45" s="78"/>
    </row>
    <row r="46" spans="1:7" x14ac:dyDescent="0.25">
      <c r="A46" s="64">
        <v>9</v>
      </c>
      <c r="B46" s="64">
        <v>2</v>
      </c>
      <c r="D46" s="115" t="s">
        <v>327</v>
      </c>
      <c r="E46" s="115" t="s">
        <v>370</v>
      </c>
      <c r="F46" s="58"/>
      <c r="G46" s="78" t="s">
        <v>371</v>
      </c>
    </row>
    <row r="47" spans="1:7" x14ac:dyDescent="0.25">
      <c r="A47" s="64">
        <v>9</v>
      </c>
      <c r="B47" s="64">
        <v>2</v>
      </c>
      <c r="D47" s="115" t="s">
        <v>330</v>
      </c>
      <c r="E47" s="115" t="s">
        <v>372</v>
      </c>
      <c r="F47" s="58"/>
      <c r="G47" s="78"/>
    </row>
    <row r="48" spans="1:7" x14ac:dyDescent="0.25">
      <c r="A48" s="64">
        <v>9</v>
      </c>
      <c r="B48" s="64">
        <v>2</v>
      </c>
      <c r="D48" s="115" t="s">
        <v>332</v>
      </c>
      <c r="E48" s="115" t="s">
        <v>373</v>
      </c>
      <c r="F48" s="58"/>
      <c r="G48" s="78" t="s">
        <v>374</v>
      </c>
    </row>
    <row r="49" spans="1:7" x14ac:dyDescent="0.25">
      <c r="A49" s="64">
        <v>9</v>
      </c>
      <c r="B49" s="64">
        <v>2</v>
      </c>
      <c r="D49" s="115" t="s">
        <v>335</v>
      </c>
      <c r="E49" s="115" t="s">
        <v>375</v>
      </c>
      <c r="F49" s="58"/>
      <c r="G49" s="78"/>
    </row>
    <row r="50" spans="1:7" x14ac:dyDescent="0.25">
      <c r="A50" s="64">
        <v>9</v>
      </c>
      <c r="B50" s="64">
        <v>2</v>
      </c>
      <c r="D50" s="115" t="s">
        <v>338</v>
      </c>
      <c r="E50" s="115" t="s">
        <v>376</v>
      </c>
      <c r="F50" s="58"/>
      <c r="G50" s="78"/>
    </row>
    <row r="51" spans="1:7" ht="15.75" thickBot="1" x14ac:dyDescent="0.3">
      <c r="A51" s="64">
        <v>9</v>
      </c>
      <c r="B51" s="64">
        <v>2</v>
      </c>
      <c r="D51" s="115" t="s">
        <v>341</v>
      </c>
      <c r="E51" s="115" t="s">
        <v>2213</v>
      </c>
      <c r="F51" s="58"/>
      <c r="G51" s="78"/>
    </row>
    <row r="52" spans="1:7" ht="15.75" thickBot="1" x14ac:dyDescent="0.3">
      <c r="A52" s="64">
        <v>9</v>
      </c>
      <c r="B52" s="64">
        <v>2</v>
      </c>
      <c r="E52" s="120" t="s">
        <v>377</v>
      </c>
      <c r="F52" s="111">
        <f>IFERROR(F46/F45,0)</f>
        <v>0</v>
      </c>
      <c r="G52" s="160" t="s">
        <v>378</v>
      </c>
    </row>
    <row r="53" spans="1:7" ht="15.75" thickBot="1" x14ac:dyDescent="0.3">
      <c r="A53" s="64">
        <v>9</v>
      </c>
      <c r="B53" s="64">
        <v>2</v>
      </c>
      <c r="E53" s="120" t="s">
        <v>379</v>
      </c>
      <c r="F53" s="111">
        <f>IFERROR(F48/F47,0)</f>
        <v>0</v>
      </c>
      <c r="G53" s="160" t="s">
        <v>380</v>
      </c>
    </row>
    <row r="54" spans="1:7" ht="15.75" thickBot="1" x14ac:dyDescent="0.3">
      <c r="A54" s="64">
        <v>9</v>
      </c>
      <c r="B54" s="64">
        <v>2</v>
      </c>
      <c r="E54" s="120" t="s">
        <v>2214</v>
      </c>
      <c r="F54" s="111">
        <f>IFERROR(F50/F51,0)</f>
        <v>0</v>
      </c>
      <c r="G54" s="160" t="s">
        <v>2215</v>
      </c>
    </row>
    <row r="55" spans="1:7" ht="15.75" thickBot="1" x14ac:dyDescent="0.3">
      <c r="A55" s="64">
        <v>9</v>
      </c>
      <c r="B55" s="64">
        <v>2</v>
      </c>
      <c r="E55" s="121" t="s">
        <v>381</v>
      </c>
      <c r="F55" s="111">
        <f>IF(F48&gt;0,AVERAGE(F52:F54),0)</f>
        <v>0</v>
      </c>
      <c r="G55" s="160" t="s">
        <v>382</v>
      </c>
    </row>
    <row r="57" spans="1:7" ht="45" customHeight="1" x14ac:dyDescent="0.25">
      <c r="A57" s="64">
        <v>9</v>
      </c>
      <c r="B57" s="64">
        <v>2</v>
      </c>
      <c r="E57" s="152" t="s">
        <v>2080</v>
      </c>
      <c r="F57" s="147" t="s">
        <v>2053</v>
      </c>
      <c r="G57" s="159"/>
    </row>
    <row r="59" spans="1:7" x14ac:dyDescent="0.25">
      <c r="A59" s="64">
        <v>9</v>
      </c>
      <c r="B59" s="64">
        <v>3</v>
      </c>
      <c r="C59" s="113">
        <v>1.05</v>
      </c>
      <c r="D59" s="213" t="s">
        <v>149</v>
      </c>
      <c r="E59" s="213"/>
      <c r="F59" s="114" t="s">
        <v>320</v>
      </c>
      <c r="G59" s="26" t="s">
        <v>321</v>
      </c>
    </row>
    <row r="60" spans="1:7" x14ac:dyDescent="0.25">
      <c r="A60" s="64">
        <v>9</v>
      </c>
      <c r="B60" s="64">
        <v>3</v>
      </c>
      <c r="D60" s="115" t="s">
        <v>322</v>
      </c>
      <c r="E60" s="115" t="s">
        <v>383</v>
      </c>
      <c r="F60" s="58"/>
      <c r="G60" s="78" t="s">
        <v>384</v>
      </c>
    </row>
    <row r="61" spans="1:7" x14ac:dyDescent="0.25">
      <c r="A61" s="64">
        <v>9</v>
      </c>
      <c r="B61" s="64">
        <v>3</v>
      </c>
      <c r="D61" s="115" t="s">
        <v>327</v>
      </c>
      <c r="E61" s="115" t="s">
        <v>385</v>
      </c>
      <c r="F61" s="58"/>
      <c r="G61" s="78" t="s">
        <v>386</v>
      </c>
    </row>
    <row r="62" spans="1:7" x14ac:dyDescent="0.25">
      <c r="A62" s="64">
        <v>9</v>
      </c>
      <c r="B62" s="64">
        <v>3</v>
      </c>
      <c r="D62" s="115" t="s">
        <v>330</v>
      </c>
      <c r="E62" s="115" t="s">
        <v>387</v>
      </c>
      <c r="F62" s="58"/>
      <c r="G62" s="78" t="s">
        <v>388</v>
      </c>
    </row>
    <row r="63" spans="1:7" x14ac:dyDescent="0.25">
      <c r="A63" s="64">
        <v>9</v>
      </c>
      <c r="B63" s="64">
        <v>3</v>
      </c>
      <c r="D63" s="115" t="s">
        <v>332</v>
      </c>
      <c r="E63" s="115" t="s">
        <v>389</v>
      </c>
      <c r="F63" s="61">
        <f>F64-F62</f>
        <v>0</v>
      </c>
      <c r="G63" s="160" t="s">
        <v>390</v>
      </c>
    </row>
    <row r="64" spans="1:7" ht="15.75" thickBot="1" x14ac:dyDescent="0.3">
      <c r="A64" s="64">
        <v>9</v>
      </c>
      <c r="B64" s="64">
        <v>3</v>
      </c>
      <c r="D64" s="115" t="s">
        <v>335</v>
      </c>
      <c r="E64" s="115" t="s">
        <v>391</v>
      </c>
      <c r="F64" s="58"/>
      <c r="G64" s="78"/>
    </row>
    <row r="65" spans="1:7" ht="30.75" thickBot="1" x14ac:dyDescent="0.3">
      <c r="A65" s="64">
        <v>9</v>
      </c>
      <c r="B65" s="64">
        <v>2</v>
      </c>
      <c r="E65" s="122" t="s">
        <v>392</v>
      </c>
      <c r="F65" s="111">
        <f>IFERROR(F62/F64,0)</f>
        <v>0</v>
      </c>
      <c r="G65" s="160" t="s">
        <v>366</v>
      </c>
    </row>
    <row r="66" spans="1:7" ht="15.75" thickBot="1" x14ac:dyDescent="0.3">
      <c r="A66" s="64">
        <v>9</v>
      </c>
      <c r="B66" s="64">
        <v>3</v>
      </c>
      <c r="E66" s="121" t="s">
        <v>393</v>
      </c>
      <c r="F66" s="111">
        <f>IF(F60=0,0,F65)</f>
        <v>0</v>
      </c>
      <c r="G66" s="160" t="s">
        <v>394</v>
      </c>
    </row>
    <row r="68" spans="1:7" ht="45" customHeight="1" x14ac:dyDescent="0.25">
      <c r="A68" s="64">
        <v>9</v>
      </c>
      <c r="B68" s="64">
        <v>3</v>
      </c>
      <c r="E68" s="152" t="s">
        <v>2080</v>
      </c>
      <c r="F68" s="147" t="s">
        <v>2053</v>
      </c>
      <c r="G68" s="159"/>
    </row>
  </sheetData>
  <sheetProtection algorithmName="SHA-512" hashValue="iPqHGWR3B+cyKu/tjPGwQng0VOgl/BsA3Y6GCnEclWU3v2wd4KmKQXVJRzQR3vt5mfhj3m1iYi5WgtfChKxdBg==" saltValue="hLZ/YM75nH2GbH2HVc6aRw==" spinCount="100000" sheet="1" formatRows="0" selectLockedCells="1"/>
  <mergeCells count="6">
    <mergeCell ref="D30:E30"/>
    <mergeCell ref="C2:E2"/>
    <mergeCell ref="D44:E44"/>
    <mergeCell ref="D59:E59"/>
    <mergeCell ref="D4:E4"/>
    <mergeCell ref="D20:E20"/>
  </mergeCells>
  <conditionalFormatting sqref="E1:E1048576">
    <cfRule type="containsText" dxfId="57" priority="2" operator="containsText" text="Safeguard Scoring Complete">
      <formula>NOT(ISERROR(SEARCH("Safeguard Scoring Complete",E1)))</formula>
    </cfRule>
    <cfRule type="containsText" dxfId="56" priority="3" operator="containsText" text="Safeguard Scoring Incomplete">
      <formula>NOT(ISERROR(SEARCH("Safeguard Scoring Incomplete",E1)))</formula>
    </cfRule>
  </conditionalFormatting>
  <dataValidations count="2">
    <dataValidation type="list" allowBlank="1" showInputMessage="1" showErrorMessage="1" sqref="F2" xr:uid="{0DDD4145-01C6-4962-8237-45D55C05C2A1}">
      <formula1>"Assessed,Not Assessed"</formula1>
    </dataValidation>
    <dataValidation type="list" allowBlank="1" showInputMessage="1" showErrorMessage="1" sqref="E18 E28 E42 E57 E68" xr:uid="{26C88492-9155-40E9-9C4F-330B78AC753F}">
      <formula1>"Safeguard Scoring Complete,Safeguard Scoring Incomplete"</formula1>
    </dataValidation>
  </dataValidations>
  <hyperlinks>
    <hyperlink ref="G2" r:id="rId1" xr:uid="{3E9530C6-C07D-44B3-8223-1886D9DDF450}"/>
  </hyperlinks>
  <pageMargins left="0.7" right="0.7" top="0.75" bottom="0.75" header="0.3" footer="0.3"/>
  <headerFooter>
    <oddFooter>&amp;C_x000D_&amp;1#&amp;"Calibri"&amp;10&amp;K000000 Level 3 - Restricted</oddFooter>
  </headerFooter>
  <extLst>
    <ext xmlns:x14="http://schemas.microsoft.com/office/spreadsheetml/2009/9/main" uri="{78C0D931-6437-407d-A8EE-F0AAD7539E65}">
      <x14:conditionalFormattings>
        <x14:conditionalFormatting xmlns:xm="http://schemas.microsoft.com/office/excel/2006/main">
          <x14:cfRule type="expression" priority="1" id="{5BEA5A55-C6D9-4BFD-A652-E5797CD99E8F}">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73BD-C200-4734-9FEF-EE1E13E644FF}">
  <sheetPr codeName="Sheet5"/>
  <dimension ref="A2:G93"/>
  <sheetViews>
    <sheetView showGridLines="0" workbookViewId="0">
      <selection activeCell="E19" sqref="E19"/>
    </sheetView>
  </sheetViews>
  <sheetFormatPr defaultColWidth="9.140625" defaultRowHeight="15" x14ac:dyDescent="0.25"/>
  <cols>
    <col min="1" max="2" width="2.7109375" style="65" customWidth="1"/>
    <col min="3" max="4" width="5.7109375" style="25" customWidth="1"/>
    <col min="5" max="5" width="90.7109375" style="25" customWidth="1"/>
    <col min="6" max="6" width="15.7109375" style="25" customWidth="1"/>
    <col min="7" max="7" width="120.7109375" style="25" customWidth="1"/>
    <col min="8" max="16384" width="9.140625" style="25"/>
  </cols>
  <sheetData>
    <row r="2" spans="1:7" ht="15.75" x14ac:dyDescent="0.25">
      <c r="C2" s="216" t="s">
        <v>395</v>
      </c>
      <c r="D2" s="216"/>
      <c r="E2" s="216"/>
      <c r="F2" s="100" t="s">
        <v>318</v>
      </c>
      <c r="G2" s="208" t="s">
        <v>2186</v>
      </c>
    </row>
    <row r="4" spans="1:7" x14ac:dyDescent="0.25">
      <c r="A4" s="65">
        <v>0</v>
      </c>
      <c r="B4" s="65">
        <v>1</v>
      </c>
      <c r="C4" s="26">
        <v>2.0099999999999998</v>
      </c>
      <c r="D4" s="215" t="s">
        <v>151</v>
      </c>
      <c r="E4" s="215"/>
      <c r="F4" s="27" t="s">
        <v>320</v>
      </c>
      <c r="G4" s="146" t="s">
        <v>321</v>
      </c>
    </row>
    <row r="5" spans="1:7" x14ac:dyDescent="0.25">
      <c r="A5" s="65">
        <v>0</v>
      </c>
      <c r="B5" s="65">
        <v>1</v>
      </c>
      <c r="D5" s="28" t="s">
        <v>322</v>
      </c>
      <c r="E5" s="28" t="s">
        <v>396</v>
      </c>
      <c r="F5" s="29">
        <f>IF(Artifacts!$E$13="Artifact Provided",1,0)</f>
        <v>0</v>
      </c>
      <c r="G5" s="30" t="s">
        <v>324</v>
      </c>
    </row>
    <row r="6" spans="1:7" x14ac:dyDescent="0.25">
      <c r="A6" s="65">
        <v>0</v>
      </c>
      <c r="B6" s="65">
        <v>1</v>
      </c>
      <c r="D6" s="28" t="s">
        <v>325</v>
      </c>
      <c r="E6" s="28" t="s">
        <v>397</v>
      </c>
      <c r="F6" s="31">
        <v>0</v>
      </c>
      <c r="G6" s="32"/>
    </row>
    <row r="7" spans="1:7" x14ac:dyDescent="0.25">
      <c r="A7" s="65">
        <v>0</v>
      </c>
      <c r="B7" s="65">
        <v>1</v>
      </c>
      <c r="D7" s="28" t="s">
        <v>327</v>
      </c>
      <c r="E7" s="28" t="s">
        <v>398</v>
      </c>
      <c r="F7" s="124">
        <f>SUM(F8:F11)</f>
        <v>0</v>
      </c>
      <c r="G7" s="30" t="s">
        <v>399</v>
      </c>
    </row>
    <row r="8" spans="1:7" x14ac:dyDescent="0.25">
      <c r="A8" s="65">
        <v>0</v>
      </c>
      <c r="B8" s="65">
        <v>1</v>
      </c>
      <c r="D8" s="28" t="s">
        <v>400</v>
      </c>
      <c r="E8" s="28" t="s">
        <v>401</v>
      </c>
      <c r="F8" s="31"/>
      <c r="G8" s="32" t="s">
        <v>402</v>
      </c>
    </row>
    <row r="9" spans="1:7" x14ac:dyDescent="0.25">
      <c r="A9" s="65">
        <v>0</v>
      </c>
      <c r="B9" s="65">
        <v>1</v>
      </c>
      <c r="D9" s="28" t="s">
        <v>403</v>
      </c>
      <c r="E9" s="28" t="s">
        <v>404</v>
      </c>
      <c r="F9" s="31"/>
      <c r="G9" s="32" t="s">
        <v>402</v>
      </c>
    </row>
    <row r="10" spans="1:7" x14ac:dyDescent="0.25">
      <c r="A10" s="65">
        <v>0</v>
      </c>
      <c r="B10" s="65">
        <v>1</v>
      </c>
      <c r="D10" s="28" t="s">
        <v>405</v>
      </c>
      <c r="E10" s="28" t="s">
        <v>406</v>
      </c>
      <c r="F10" s="31"/>
      <c r="G10" s="32" t="s">
        <v>402</v>
      </c>
    </row>
    <row r="11" spans="1:7" x14ac:dyDescent="0.25">
      <c r="A11" s="65">
        <v>0</v>
      </c>
      <c r="B11" s="65">
        <v>1</v>
      </c>
      <c r="D11" s="28" t="s">
        <v>407</v>
      </c>
      <c r="E11" s="28" t="s">
        <v>408</v>
      </c>
      <c r="F11" s="31"/>
      <c r="G11" s="32" t="s">
        <v>402</v>
      </c>
    </row>
    <row r="12" spans="1:7" x14ac:dyDescent="0.25">
      <c r="A12" s="65">
        <v>0</v>
      </c>
      <c r="B12" s="65">
        <v>1</v>
      </c>
      <c r="D12" s="28" t="s">
        <v>409</v>
      </c>
      <c r="E12" s="28" t="s">
        <v>410</v>
      </c>
      <c r="F12" s="31"/>
      <c r="G12" s="32" t="s">
        <v>402</v>
      </c>
    </row>
    <row r="13" spans="1:7" ht="30" x14ac:dyDescent="0.25">
      <c r="D13" s="28" t="s">
        <v>411</v>
      </c>
      <c r="E13" s="28" t="s">
        <v>412</v>
      </c>
      <c r="F13" s="31">
        <v>0</v>
      </c>
      <c r="G13" s="32" t="s">
        <v>413</v>
      </c>
    </row>
    <row r="14" spans="1:7" x14ac:dyDescent="0.25">
      <c r="A14" s="65">
        <v>0</v>
      </c>
      <c r="B14" s="65">
        <v>1</v>
      </c>
      <c r="D14" s="28" t="s">
        <v>330</v>
      </c>
      <c r="E14" s="28" t="s">
        <v>414</v>
      </c>
      <c r="F14" s="31">
        <v>0</v>
      </c>
      <c r="G14" s="32" t="s">
        <v>415</v>
      </c>
    </row>
    <row r="15" spans="1:7" ht="15.75" thickBot="1" x14ac:dyDescent="0.3">
      <c r="A15" s="65">
        <v>0</v>
      </c>
      <c r="B15" s="65">
        <v>1</v>
      </c>
      <c r="D15" s="28" t="s">
        <v>332</v>
      </c>
      <c r="E15" s="33" t="s">
        <v>416</v>
      </c>
      <c r="F15" s="34">
        <f>DATEDIF(Artifacts!$F$13,GlobalSettings!$C$4,"m")</f>
        <v>1508</v>
      </c>
      <c r="G15" s="30" t="s">
        <v>417</v>
      </c>
    </row>
    <row r="16" spans="1:7" ht="30.75" thickBot="1" x14ac:dyDescent="0.3">
      <c r="A16" s="65">
        <v>0</v>
      </c>
      <c r="B16" s="65">
        <v>1</v>
      </c>
      <c r="E16" s="45" t="s">
        <v>418</v>
      </c>
      <c r="F16" s="46">
        <f>IFERROR(F13/(F6*4),0)</f>
        <v>0</v>
      </c>
      <c r="G16" s="37" t="s">
        <v>2212</v>
      </c>
    </row>
    <row r="17" spans="1:7" ht="15.75" thickBot="1" x14ac:dyDescent="0.3">
      <c r="A17" s="65">
        <v>0</v>
      </c>
      <c r="B17" s="65">
        <v>1</v>
      </c>
      <c r="E17" s="43" t="s">
        <v>419</v>
      </c>
      <c r="F17" s="44">
        <f>IF(F5=0,0,IF(F15&lt;=6,F16,IF(GlobalSettings!$C$12="No",0,F16*0.5)))</f>
        <v>0</v>
      </c>
      <c r="G17" s="35" t="s">
        <v>2064</v>
      </c>
    </row>
    <row r="19" spans="1:7" s="1" customFormat="1" ht="45" customHeight="1" x14ac:dyDescent="0.25">
      <c r="A19" s="65">
        <v>0</v>
      </c>
      <c r="B19" s="65">
        <v>1</v>
      </c>
      <c r="C19" s="65">
        <v>1</v>
      </c>
      <c r="D19" s="112"/>
      <c r="E19" s="152" t="s">
        <v>2080</v>
      </c>
      <c r="F19" s="147" t="s">
        <v>2053</v>
      </c>
      <c r="G19" s="159"/>
    </row>
    <row r="20" spans="1:7" s="1" customFormat="1" x14ac:dyDescent="0.25">
      <c r="A20" s="64"/>
      <c r="B20" s="64"/>
      <c r="C20" s="112"/>
      <c r="D20" s="112"/>
      <c r="E20" s="112"/>
      <c r="F20" s="56"/>
      <c r="G20" s="150"/>
    </row>
    <row r="21" spans="1:7" x14ac:dyDescent="0.25">
      <c r="A21" s="65">
        <v>0</v>
      </c>
      <c r="B21" s="65">
        <v>1</v>
      </c>
      <c r="C21" s="26">
        <v>2.02</v>
      </c>
      <c r="D21" s="215" t="s">
        <v>420</v>
      </c>
      <c r="E21" s="215"/>
      <c r="F21" s="27" t="s">
        <v>320</v>
      </c>
      <c r="G21" s="146" t="s">
        <v>321</v>
      </c>
    </row>
    <row r="22" spans="1:7" x14ac:dyDescent="0.25">
      <c r="A22" s="65">
        <v>0</v>
      </c>
      <c r="B22" s="65">
        <v>1</v>
      </c>
      <c r="D22" s="28" t="s">
        <v>322</v>
      </c>
      <c r="E22" s="28" t="s">
        <v>396</v>
      </c>
      <c r="F22" s="29">
        <f>F5</f>
        <v>0</v>
      </c>
      <c r="G22" s="30" t="s">
        <v>324</v>
      </c>
    </row>
    <row r="23" spans="1:7" x14ac:dyDescent="0.25">
      <c r="A23" s="65">
        <v>0</v>
      </c>
      <c r="B23" s="65">
        <v>1</v>
      </c>
      <c r="D23" s="28" t="s">
        <v>325</v>
      </c>
      <c r="E23" s="28" t="s">
        <v>397</v>
      </c>
      <c r="F23" s="29">
        <f>F6</f>
        <v>0</v>
      </c>
      <c r="G23" s="30"/>
    </row>
    <row r="24" spans="1:7" x14ac:dyDescent="0.25">
      <c r="A24" s="65">
        <v>0</v>
      </c>
      <c r="B24" s="65">
        <v>1</v>
      </c>
      <c r="D24" s="28" t="s">
        <v>327</v>
      </c>
      <c r="E24" s="28" t="s">
        <v>421</v>
      </c>
      <c r="F24" s="31"/>
      <c r="G24" s="32" t="s">
        <v>422</v>
      </c>
    </row>
    <row r="25" spans="1:7" x14ac:dyDescent="0.25">
      <c r="A25" s="65">
        <v>0</v>
      </c>
      <c r="B25" s="65">
        <v>1</v>
      </c>
      <c r="D25" s="28" t="s">
        <v>330</v>
      </c>
      <c r="E25" s="28" t="s">
        <v>423</v>
      </c>
      <c r="F25" s="31"/>
      <c r="G25" s="32" t="s">
        <v>424</v>
      </c>
    </row>
    <row r="26" spans="1:7" x14ac:dyDescent="0.25">
      <c r="A26" s="65">
        <v>0</v>
      </c>
      <c r="B26" s="65">
        <v>1</v>
      </c>
      <c r="D26" s="28" t="s">
        <v>332</v>
      </c>
      <c r="E26" s="28" t="s">
        <v>425</v>
      </c>
      <c r="F26" s="31"/>
      <c r="G26" s="32" t="s">
        <v>426</v>
      </c>
    </row>
    <row r="27" spans="1:7" x14ac:dyDescent="0.25">
      <c r="A27" s="65">
        <v>0</v>
      </c>
      <c r="B27" s="65">
        <v>1</v>
      </c>
      <c r="D27" s="28" t="s">
        <v>335</v>
      </c>
      <c r="E27" s="28" t="s">
        <v>427</v>
      </c>
      <c r="F27" s="31"/>
      <c r="G27" s="32" t="s">
        <v>428</v>
      </c>
    </row>
    <row r="28" spans="1:7" ht="30" x14ac:dyDescent="0.25">
      <c r="A28" s="65">
        <v>0</v>
      </c>
      <c r="B28" s="65">
        <v>1</v>
      </c>
      <c r="D28" s="28" t="s">
        <v>338</v>
      </c>
      <c r="E28" s="28" t="s">
        <v>429</v>
      </c>
      <c r="F28" s="36">
        <f>F26-F27</f>
        <v>0</v>
      </c>
      <c r="G28" s="30" t="s">
        <v>430</v>
      </c>
    </row>
    <row r="29" spans="1:7" ht="15.75" thickBot="1" x14ac:dyDescent="0.3">
      <c r="A29" s="65">
        <v>0</v>
      </c>
      <c r="B29" s="65">
        <v>1</v>
      </c>
      <c r="D29" s="28" t="s">
        <v>341</v>
      </c>
      <c r="E29" s="33" t="s">
        <v>431</v>
      </c>
      <c r="F29" s="36">
        <f>DATEDIF(Artifacts!$F$13,GlobalSettings!$C$4,"d")/7</f>
        <v>6557.1428571428569</v>
      </c>
      <c r="G29" s="30" t="s">
        <v>432</v>
      </c>
    </row>
    <row r="30" spans="1:7" ht="15.75" thickBot="1" x14ac:dyDescent="0.3">
      <c r="A30" s="65">
        <v>0</v>
      </c>
      <c r="B30" s="65">
        <v>1</v>
      </c>
      <c r="E30" s="45" t="s">
        <v>433</v>
      </c>
      <c r="F30" s="46">
        <f>IFERROR(F26/F23,0)</f>
        <v>0</v>
      </c>
      <c r="G30" s="37" t="s">
        <v>434</v>
      </c>
    </row>
    <row r="31" spans="1:7" ht="15.75" thickBot="1" x14ac:dyDescent="0.3">
      <c r="A31" s="65">
        <v>0</v>
      </c>
      <c r="B31" s="65">
        <v>1</v>
      </c>
      <c r="E31" s="45" t="s">
        <v>435</v>
      </c>
      <c r="F31" s="46">
        <f>IFERROR(F25/F23,0)</f>
        <v>0</v>
      </c>
      <c r="G31" s="37" t="s">
        <v>436</v>
      </c>
    </row>
    <row r="32" spans="1:7" ht="15.75" thickBot="1" x14ac:dyDescent="0.3">
      <c r="A32" s="65">
        <v>0</v>
      </c>
      <c r="B32" s="65">
        <v>1</v>
      </c>
      <c r="E32" s="45" t="s">
        <v>437</v>
      </c>
      <c r="F32" s="46">
        <f>IFERROR(F24/F23,0)</f>
        <v>0</v>
      </c>
      <c r="G32" s="37" t="s">
        <v>378</v>
      </c>
    </row>
    <row r="33" spans="1:7" ht="15.75" thickBot="1" x14ac:dyDescent="0.3">
      <c r="A33" s="65">
        <v>0</v>
      </c>
      <c r="B33" s="65">
        <v>1</v>
      </c>
      <c r="E33" s="45" t="s">
        <v>438</v>
      </c>
      <c r="F33" s="46">
        <f>IFERROR(F27/F26,0)</f>
        <v>0</v>
      </c>
      <c r="G33" s="37" t="s">
        <v>439</v>
      </c>
    </row>
    <row r="34" spans="1:7" ht="30.75" thickBot="1" x14ac:dyDescent="0.3">
      <c r="A34" s="65">
        <v>0</v>
      </c>
      <c r="B34" s="65">
        <v>1</v>
      </c>
      <c r="E34" s="47" t="s">
        <v>440</v>
      </c>
      <c r="F34" s="44">
        <f>IF(F5=0,0,IF(F29&lt;=4,(IFERROR(IF(F33=0,(1-F30),1-(F26-F27)/F23),0)),IF(GlobalSettings!$C$12="No",0,(IFERROR(IF(F33=0,(1-F30),1-(F26-F27)/F23),0))*0.5)))</f>
        <v>0</v>
      </c>
      <c r="G34" s="37" t="s">
        <v>2065</v>
      </c>
    </row>
    <row r="36" spans="1:7" s="1" customFormat="1" ht="45" customHeight="1" x14ac:dyDescent="0.25">
      <c r="A36" s="65">
        <v>0</v>
      </c>
      <c r="B36" s="65">
        <v>1</v>
      </c>
      <c r="C36" s="112"/>
      <c r="D36" s="112"/>
      <c r="E36" s="152" t="s">
        <v>2080</v>
      </c>
      <c r="F36" s="147" t="s">
        <v>2053</v>
      </c>
      <c r="G36" s="159"/>
    </row>
    <row r="37" spans="1:7" s="1" customFormat="1" x14ac:dyDescent="0.25">
      <c r="A37" s="64"/>
      <c r="B37" s="64"/>
      <c r="C37" s="112"/>
      <c r="D37" s="112"/>
      <c r="E37" s="112"/>
      <c r="F37" s="56"/>
      <c r="G37" s="150"/>
    </row>
    <row r="38" spans="1:7" x14ac:dyDescent="0.25">
      <c r="A38" s="65">
        <v>0</v>
      </c>
      <c r="B38" s="65">
        <v>1</v>
      </c>
      <c r="C38" s="26">
        <v>2.0299999999999998</v>
      </c>
      <c r="D38" s="215" t="s">
        <v>155</v>
      </c>
      <c r="E38" s="215"/>
      <c r="F38" s="27" t="s">
        <v>320</v>
      </c>
      <c r="G38" s="146" t="s">
        <v>321</v>
      </c>
    </row>
    <row r="39" spans="1:7" x14ac:dyDescent="0.25">
      <c r="A39" s="65">
        <v>0</v>
      </c>
      <c r="B39" s="65">
        <v>1</v>
      </c>
      <c r="D39" s="28" t="s">
        <v>322</v>
      </c>
      <c r="E39" s="28" t="s">
        <v>441</v>
      </c>
      <c r="F39" s="39"/>
      <c r="G39" s="32" t="s">
        <v>442</v>
      </c>
    </row>
    <row r="40" spans="1:7" x14ac:dyDescent="0.25">
      <c r="A40" s="65">
        <v>0</v>
      </c>
      <c r="B40" s="65">
        <v>1</v>
      </c>
      <c r="D40" s="28" t="s">
        <v>327</v>
      </c>
      <c r="E40" s="28" t="s">
        <v>443</v>
      </c>
      <c r="F40" s="39"/>
      <c r="G40" s="32" t="s">
        <v>444</v>
      </c>
    </row>
    <row r="41" spans="1:7" ht="30" x14ac:dyDescent="0.25">
      <c r="A41" s="65">
        <v>0</v>
      </c>
      <c r="B41" s="65">
        <v>1</v>
      </c>
      <c r="D41" s="28" t="s">
        <v>330</v>
      </c>
      <c r="E41" s="28" t="s">
        <v>2110</v>
      </c>
      <c r="F41" s="39"/>
      <c r="G41" s="32"/>
    </row>
    <row r="42" spans="1:7" ht="15.75" thickBot="1" x14ac:dyDescent="0.3">
      <c r="A42" s="65">
        <v>0</v>
      </c>
      <c r="B42" s="65">
        <v>1</v>
      </c>
      <c r="D42" s="28" t="s">
        <v>332</v>
      </c>
      <c r="E42" s="33" t="s">
        <v>2109</v>
      </c>
      <c r="F42" s="40">
        <v>1</v>
      </c>
      <c r="G42" s="32" t="s">
        <v>2111</v>
      </c>
    </row>
    <row r="43" spans="1:7" ht="15.75" thickBot="1" x14ac:dyDescent="0.3">
      <c r="A43" s="65">
        <v>0</v>
      </c>
      <c r="B43" s="65">
        <v>1</v>
      </c>
      <c r="E43" s="45" t="s">
        <v>445</v>
      </c>
      <c r="F43" s="46">
        <f>IFERROR(F40/F39,0)</f>
        <v>0</v>
      </c>
      <c r="G43" s="38" t="s">
        <v>378</v>
      </c>
    </row>
    <row r="44" spans="1:7" ht="30.75" thickBot="1" x14ac:dyDescent="0.3">
      <c r="A44" s="65">
        <v>0</v>
      </c>
      <c r="B44" s="65">
        <v>1</v>
      </c>
      <c r="E44" s="45" t="s">
        <v>446</v>
      </c>
      <c r="F44" s="46">
        <f>IFERROR(F41/F39,0)</f>
        <v>0</v>
      </c>
      <c r="G44" s="38" t="s">
        <v>436</v>
      </c>
    </row>
    <row r="45" spans="1:7" ht="15.75" thickBot="1" x14ac:dyDescent="0.3">
      <c r="A45" s="65">
        <v>0</v>
      </c>
      <c r="B45" s="65">
        <v>1</v>
      </c>
      <c r="E45" s="47" t="s">
        <v>447</v>
      </c>
      <c r="F45" s="44">
        <f>IF(F39=0,0,IF(F42&gt;1,0,(1-F44)))</f>
        <v>0</v>
      </c>
      <c r="G45" s="35" t="s">
        <v>2112</v>
      </c>
    </row>
    <row r="47" spans="1:7" s="1" customFormat="1" ht="45" customHeight="1" x14ac:dyDescent="0.25">
      <c r="A47" s="65">
        <v>0</v>
      </c>
      <c r="B47" s="65">
        <v>1</v>
      </c>
      <c r="C47" s="112"/>
      <c r="D47" s="112"/>
      <c r="E47" s="152" t="s">
        <v>2080</v>
      </c>
      <c r="F47" s="147" t="s">
        <v>2053</v>
      </c>
      <c r="G47" s="159"/>
    </row>
    <row r="48" spans="1:7" s="1" customFormat="1" x14ac:dyDescent="0.25">
      <c r="A48" s="64"/>
      <c r="B48" s="64"/>
      <c r="C48" s="112"/>
      <c r="D48" s="112"/>
      <c r="E48" s="112"/>
      <c r="F48" s="56"/>
      <c r="G48" s="150"/>
    </row>
    <row r="49" spans="1:7" x14ac:dyDescent="0.25">
      <c r="A49" s="65">
        <v>0</v>
      </c>
      <c r="B49" s="65">
        <v>2</v>
      </c>
      <c r="C49" s="26">
        <v>2.04</v>
      </c>
      <c r="D49" s="215" t="s">
        <v>157</v>
      </c>
      <c r="E49" s="215"/>
      <c r="F49" s="27" t="s">
        <v>320</v>
      </c>
      <c r="G49" s="146" t="s">
        <v>321</v>
      </c>
    </row>
    <row r="50" spans="1:7" x14ac:dyDescent="0.25">
      <c r="A50" s="65">
        <v>0</v>
      </c>
      <c r="B50" s="65">
        <v>2</v>
      </c>
      <c r="D50" s="28" t="s">
        <v>322</v>
      </c>
      <c r="E50" s="28" t="s">
        <v>448</v>
      </c>
      <c r="F50" s="31"/>
      <c r="G50" s="32" t="s">
        <v>449</v>
      </c>
    </row>
    <row r="51" spans="1:7" x14ac:dyDescent="0.25">
      <c r="A51" s="65">
        <v>0</v>
      </c>
      <c r="B51" s="65">
        <v>2</v>
      </c>
      <c r="D51" s="28" t="s">
        <v>327</v>
      </c>
      <c r="E51" s="28" t="s">
        <v>450</v>
      </c>
      <c r="F51" s="29">
        <f>'Control 01'!F6-'Control 02'!F50</f>
        <v>0</v>
      </c>
      <c r="G51" s="30" t="s">
        <v>451</v>
      </c>
    </row>
    <row r="52" spans="1:7" x14ac:dyDescent="0.25">
      <c r="A52" s="65">
        <v>0</v>
      </c>
      <c r="B52" s="65">
        <v>2</v>
      </c>
      <c r="D52" s="28" t="s">
        <v>330</v>
      </c>
      <c r="E52" s="28" t="s">
        <v>452</v>
      </c>
      <c r="F52" s="31"/>
      <c r="G52" s="32" t="s">
        <v>453</v>
      </c>
    </row>
    <row r="53" spans="1:7" ht="15.75" thickBot="1" x14ac:dyDescent="0.3">
      <c r="A53" s="65">
        <v>0</v>
      </c>
      <c r="B53" s="65">
        <v>2</v>
      </c>
      <c r="D53" s="28" t="s">
        <v>332</v>
      </c>
      <c r="E53" s="33" t="s">
        <v>454</v>
      </c>
      <c r="F53" s="34">
        <f>F50-F52</f>
        <v>0</v>
      </c>
      <c r="G53" s="30" t="s">
        <v>455</v>
      </c>
    </row>
    <row r="54" spans="1:7" ht="30.75" thickBot="1" x14ac:dyDescent="0.3">
      <c r="A54" s="65">
        <v>0</v>
      </c>
      <c r="B54" s="65">
        <v>2</v>
      </c>
      <c r="E54" s="45" t="s">
        <v>456</v>
      </c>
      <c r="F54" s="46">
        <f>IFERROR(F52/F50,0)</f>
        <v>0</v>
      </c>
      <c r="G54" s="38" t="s">
        <v>436</v>
      </c>
    </row>
    <row r="55" spans="1:7" ht="15.75" thickBot="1" x14ac:dyDescent="0.3">
      <c r="A55" s="65">
        <v>0</v>
      </c>
      <c r="B55" s="65">
        <v>2</v>
      </c>
      <c r="E55" s="47" t="s">
        <v>457</v>
      </c>
      <c r="F55" s="48">
        <f>F54</f>
        <v>0</v>
      </c>
      <c r="G55" s="35"/>
    </row>
    <row r="57" spans="1:7" s="1" customFormat="1" ht="45" customHeight="1" x14ac:dyDescent="0.25">
      <c r="A57" s="65">
        <v>0</v>
      </c>
      <c r="B57" s="65">
        <v>2</v>
      </c>
      <c r="C57" s="112"/>
      <c r="D57" s="112"/>
      <c r="E57" s="152" t="s">
        <v>2080</v>
      </c>
      <c r="F57" s="147" t="s">
        <v>2053</v>
      </c>
      <c r="G57" s="159"/>
    </row>
    <row r="58" spans="1:7" s="1" customFormat="1" x14ac:dyDescent="0.25">
      <c r="A58" s="64"/>
      <c r="B58" s="64"/>
      <c r="C58" s="112"/>
      <c r="D58" s="112"/>
      <c r="E58" s="112"/>
      <c r="F58" s="56"/>
      <c r="G58" s="150"/>
    </row>
    <row r="59" spans="1:7" x14ac:dyDescent="0.25">
      <c r="A59" s="65">
        <v>9</v>
      </c>
      <c r="B59" s="65">
        <v>2</v>
      </c>
      <c r="C59" s="26">
        <v>2.0499999999999998</v>
      </c>
      <c r="D59" s="215" t="s">
        <v>159</v>
      </c>
      <c r="E59" s="215"/>
      <c r="F59" s="27" t="s">
        <v>320</v>
      </c>
      <c r="G59" s="146" t="s">
        <v>321</v>
      </c>
    </row>
    <row r="60" spans="1:7" ht="30" x14ac:dyDescent="0.25">
      <c r="A60" s="65">
        <v>9</v>
      </c>
      <c r="B60" s="65">
        <v>2</v>
      </c>
      <c r="D60" s="28" t="s">
        <v>322</v>
      </c>
      <c r="E60" s="28" t="s">
        <v>458</v>
      </c>
      <c r="F60" s="31"/>
      <c r="G60" s="32" t="s">
        <v>459</v>
      </c>
    </row>
    <row r="61" spans="1:7" ht="30" x14ac:dyDescent="0.25">
      <c r="A61" s="65">
        <v>9</v>
      </c>
      <c r="B61" s="65">
        <v>2</v>
      </c>
      <c r="D61" s="28" t="s">
        <v>327</v>
      </c>
      <c r="E61" s="28" t="s">
        <v>460</v>
      </c>
      <c r="F61" s="31"/>
      <c r="G61" s="32" t="s">
        <v>461</v>
      </c>
    </row>
    <row r="62" spans="1:7" ht="30" x14ac:dyDescent="0.25">
      <c r="A62" s="65">
        <v>9</v>
      </c>
      <c r="B62" s="65">
        <v>2</v>
      </c>
      <c r="D62" s="28" t="s">
        <v>330</v>
      </c>
      <c r="E62" s="28" t="s">
        <v>462</v>
      </c>
      <c r="F62" s="29">
        <f>F60-F61</f>
        <v>0</v>
      </c>
      <c r="G62" s="30" t="s">
        <v>463</v>
      </c>
    </row>
    <row r="63" spans="1:7" x14ac:dyDescent="0.25">
      <c r="A63" s="65">
        <v>9</v>
      </c>
      <c r="B63" s="65">
        <v>2</v>
      </c>
      <c r="D63" s="28" t="s">
        <v>332</v>
      </c>
      <c r="E63" s="28" t="s">
        <v>464</v>
      </c>
      <c r="F63" s="31"/>
      <c r="G63" s="32" t="s">
        <v>465</v>
      </c>
    </row>
    <row r="64" spans="1:7" x14ac:dyDescent="0.25">
      <c r="A64" s="65">
        <v>9</v>
      </c>
      <c r="B64" s="65">
        <v>2</v>
      </c>
      <c r="D64" s="28" t="s">
        <v>335</v>
      </c>
      <c r="E64" s="28" t="s">
        <v>466</v>
      </c>
      <c r="F64" s="29">
        <f>F61-F63</f>
        <v>0</v>
      </c>
      <c r="G64" s="30" t="s">
        <v>467</v>
      </c>
    </row>
    <row r="65" spans="1:7" ht="15.75" thickBot="1" x14ac:dyDescent="0.3">
      <c r="A65" s="65">
        <v>9</v>
      </c>
      <c r="B65" s="65">
        <v>2</v>
      </c>
      <c r="D65" s="28" t="s">
        <v>338</v>
      </c>
      <c r="E65" s="33" t="s">
        <v>468</v>
      </c>
      <c r="F65" s="41"/>
      <c r="G65" s="32" t="s">
        <v>469</v>
      </c>
    </row>
    <row r="66" spans="1:7" ht="15.75" thickBot="1" x14ac:dyDescent="0.3">
      <c r="A66" s="65">
        <v>9</v>
      </c>
      <c r="B66" s="65">
        <v>2</v>
      </c>
      <c r="E66" s="45" t="s">
        <v>470</v>
      </c>
      <c r="F66" s="46">
        <f>IFERROR(F61/F60,0)</f>
        <v>0</v>
      </c>
      <c r="G66" s="37" t="s">
        <v>378</v>
      </c>
    </row>
    <row r="67" spans="1:7" ht="15.75" thickBot="1" x14ac:dyDescent="0.3">
      <c r="A67" s="65">
        <v>9</v>
      </c>
      <c r="B67" s="65">
        <v>2</v>
      </c>
      <c r="E67" s="49" t="s">
        <v>471</v>
      </c>
      <c r="F67" s="50">
        <f>IFERROR(F63/F61,0)</f>
        <v>0</v>
      </c>
      <c r="G67" s="37" t="s">
        <v>357</v>
      </c>
    </row>
    <row r="68" spans="1:7" ht="15.75" thickBot="1" x14ac:dyDescent="0.3">
      <c r="A68" s="65">
        <v>9</v>
      </c>
      <c r="B68" s="65">
        <v>2</v>
      </c>
      <c r="E68" s="47" t="s">
        <v>472</v>
      </c>
      <c r="F68" s="44">
        <f>IF(F65&gt;6,0,F66*F67)</f>
        <v>0</v>
      </c>
      <c r="G68" s="37" t="s">
        <v>473</v>
      </c>
    </row>
    <row r="70" spans="1:7" s="1" customFormat="1" ht="45" customHeight="1" x14ac:dyDescent="0.25">
      <c r="A70" s="65">
        <v>9</v>
      </c>
      <c r="B70" s="65">
        <v>2</v>
      </c>
      <c r="C70" s="112"/>
      <c r="D70" s="112"/>
      <c r="E70" s="152" t="s">
        <v>2080</v>
      </c>
      <c r="F70" s="147" t="s">
        <v>2053</v>
      </c>
      <c r="G70" s="159"/>
    </row>
    <row r="71" spans="1:7" s="1" customFormat="1" x14ac:dyDescent="0.25">
      <c r="A71" s="64"/>
      <c r="B71" s="64"/>
      <c r="C71" s="112"/>
      <c r="D71" s="112"/>
      <c r="E71" s="112"/>
      <c r="F71" s="56"/>
      <c r="G71" s="150"/>
    </row>
    <row r="72" spans="1:7" x14ac:dyDescent="0.25">
      <c r="A72" s="65">
        <v>9</v>
      </c>
      <c r="B72" s="65">
        <v>2</v>
      </c>
      <c r="C72" s="26">
        <v>2.06</v>
      </c>
      <c r="D72" s="215" t="s">
        <v>161</v>
      </c>
      <c r="E72" s="215"/>
      <c r="F72" s="27" t="s">
        <v>320</v>
      </c>
      <c r="G72" s="146" t="s">
        <v>321</v>
      </c>
    </row>
    <row r="73" spans="1:7" ht="30" x14ac:dyDescent="0.25">
      <c r="A73" s="65">
        <v>9</v>
      </c>
      <c r="B73" s="65">
        <v>2</v>
      </c>
      <c r="D73" s="28"/>
      <c r="E73" s="28" t="s">
        <v>474</v>
      </c>
      <c r="F73" s="29">
        <f>IF(Artifacts!$E$14="Artifact Provided",1,0)</f>
        <v>0</v>
      </c>
      <c r="G73" s="30" t="s">
        <v>475</v>
      </c>
    </row>
    <row r="74" spans="1:7" x14ac:dyDescent="0.25">
      <c r="A74" s="65">
        <v>9</v>
      </c>
      <c r="B74" s="65">
        <v>2</v>
      </c>
      <c r="D74" s="28" t="s">
        <v>322</v>
      </c>
      <c r="E74" s="28" t="s">
        <v>476</v>
      </c>
      <c r="F74" s="31"/>
      <c r="G74" s="32"/>
    </row>
    <row r="75" spans="1:7" x14ac:dyDescent="0.25">
      <c r="A75" s="65">
        <v>9</v>
      </c>
      <c r="B75" s="65">
        <v>2</v>
      </c>
      <c r="D75" s="28" t="s">
        <v>327</v>
      </c>
      <c r="E75" s="28" t="s">
        <v>477</v>
      </c>
      <c r="F75" s="31"/>
      <c r="G75" s="32" t="s">
        <v>478</v>
      </c>
    </row>
    <row r="76" spans="1:7" x14ac:dyDescent="0.25">
      <c r="A76" s="65">
        <v>9</v>
      </c>
      <c r="B76" s="65">
        <v>2</v>
      </c>
      <c r="D76" s="28" t="s">
        <v>330</v>
      </c>
      <c r="E76" s="28" t="s">
        <v>479</v>
      </c>
      <c r="F76" s="29">
        <f>F74-F75</f>
        <v>0</v>
      </c>
      <c r="G76" s="30" t="s">
        <v>480</v>
      </c>
    </row>
    <row r="77" spans="1:7" ht="15.75" thickBot="1" x14ac:dyDescent="0.3">
      <c r="A77" s="65">
        <v>9</v>
      </c>
      <c r="B77" s="65">
        <v>2</v>
      </c>
      <c r="D77" s="28" t="s">
        <v>332</v>
      </c>
      <c r="E77" s="33" t="s">
        <v>481</v>
      </c>
      <c r="F77" s="41"/>
      <c r="G77" s="32" t="s">
        <v>482</v>
      </c>
    </row>
    <row r="78" spans="1:7" ht="15.75" thickBot="1" x14ac:dyDescent="0.3">
      <c r="A78" s="65">
        <v>9</v>
      </c>
      <c r="B78" s="65">
        <v>2</v>
      </c>
      <c r="E78" s="45" t="s">
        <v>483</v>
      </c>
      <c r="F78" s="46">
        <f>IFERROR(F75/F74,0)</f>
        <v>0</v>
      </c>
      <c r="G78" s="37" t="s">
        <v>378</v>
      </c>
    </row>
    <row r="79" spans="1:7" ht="15.75" thickBot="1" x14ac:dyDescent="0.3">
      <c r="A79" s="65">
        <v>9</v>
      </c>
      <c r="B79" s="65">
        <v>2</v>
      </c>
      <c r="E79" s="47" t="s">
        <v>484</v>
      </c>
      <c r="F79" s="44">
        <f>IF(F77&gt;6,0,F78)</f>
        <v>0</v>
      </c>
      <c r="G79" s="30" t="s">
        <v>485</v>
      </c>
    </row>
    <row r="81" spans="1:7" s="1" customFormat="1" ht="45" customHeight="1" x14ac:dyDescent="0.25">
      <c r="A81" s="65">
        <v>9</v>
      </c>
      <c r="B81" s="65">
        <v>2</v>
      </c>
      <c r="C81" s="112"/>
      <c r="D81" s="112"/>
      <c r="E81" s="152" t="s">
        <v>2080</v>
      </c>
      <c r="F81" s="147" t="s">
        <v>2053</v>
      </c>
      <c r="G81" s="159"/>
    </row>
    <row r="82" spans="1:7" s="1" customFormat="1" x14ac:dyDescent="0.25">
      <c r="A82" s="64"/>
      <c r="B82" s="64"/>
      <c r="C82" s="112"/>
      <c r="D82" s="112"/>
      <c r="E82" s="112"/>
      <c r="F82" s="56"/>
      <c r="G82" s="150"/>
    </row>
    <row r="83" spans="1:7" x14ac:dyDescent="0.25">
      <c r="A83" s="65">
        <v>9</v>
      </c>
      <c r="B83" s="65">
        <v>3</v>
      </c>
      <c r="C83" s="26">
        <v>2.0699999999999998</v>
      </c>
      <c r="D83" s="215" t="s">
        <v>163</v>
      </c>
      <c r="E83" s="215"/>
      <c r="F83" s="27" t="s">
        <v>320</v>
      </c>
      <c r="G83" s="146" t="s">
        <v>321</v>
      </c>
    </row>
    <row r="84" spans="1:7" ht="30" x14ac:dyDescent="0.25">
      <c r="A84" s="65">
        <v>9</v>
      </c>
      <c r="B84" s="65">
        <v>3</v>
      </c>
      <c r="D84" s="28"/>
      <c r="E84" s="28" t="s">
        <v>474</v>
      </c>
      <c r="F84" s="29">
        <f>IF(Artifacts!$E$14="Artifact Provided",1,0)</f>
        <v>0</v>
      </c>
      <c r="G84" s="30" t="s">
        <v>475</v>
      </c>
    </row>
    <row r="85" spans="1:7" ht="30" x14ac:dyDescent="0.25">
      <c r="A85" s="65">
        <v>9</v>
      </c>
      <c r="B85" s="65">
        <v>3</v>
      </c>
      <c r="D85" s="28" t="s">
        <v>322</v>
      </c>
      <c r="E85" s="28" t="s">
        <v>486</v>
      </c>
      <c r="F85" s="31"/>
      <c r="G85" s="32" t="s">
        <v>487</v>
      </c>
    </row>
    <row r="86" spans="1:7" ht="30" x14ac:dyDescent="0.25">
      <c r="A86" s="65">
        <v>9</v>
      </c>
      <c r="B86" s="65">
        <v>3</v>
      </c>
      <c r="D86" s="28" t="s">
        <v>327</v>
      </c>
      <c r="E86" s="28" t="s">
        <v>488</v>
      </c>
      <c r="F86" s="31"/>
      <c r="G86" s="32" t="s">
        <v>489</v>
      </c>
    </row>
    <row r="87" spans="1:7" x14ac:dyDescent="0.25">
      <c r="A87" s="65">
        <v>9</v>
      </c>
      <c r="B87" s="65">
        <v>3</v>
      </c>
      <c r="D87" s="28" t="s">
        <v>330</v>
      </c>
      <c r="E87" s="28" t="s">
        <v>490</v>
      </c>
      <c r="F87" s="29">
        <f>F85-F86</f>
        <v>0</v>
      </c>
      <c r="G87" s="30" t="s">
        <v>491</v>
      </c>
    </row>
    <row r="88" spans="1:7" ht="15.75" thickBot="1" x14ac:dyDescent="0.3">
      <c r="A88" s="65">
        <v>9</v>
      </c>
      <c r="B88" s="65">
        <v>3</v>
      </c>
      <c r="D88" s="28" t="s">
        <v>332</v>
      </c>
      <c r="E88" s="33" t="s">
        <v>481</v>
      </c>
      <c r="F88" s="41"/>
      <c r="G88" s="32" t="s">
        <v>492</v>
      </c>
    </row>
    <row r="89" spans="1:7" ht="15.75" thickBot="1" x14ac:dyDescent="0.3">
      <c r="A89" s="65">
        <v>9</v>
      </c>
      <c r="B89" s="65">
        <v>3</v>
      </c>
      <c r="E89" s="45" t="s">
        <v>493</v>
      </c>
      <c r="F89" s="46">
        <f>IFERROR(F86/F85,0)</f>
        <v>0</v>
      </c>
      <c r="G89" s="37" t="s">
        <v>378</v>
      </c>
    </row>
    <row r="90" spans="1:7" ht="15.75" thickBot="1" x14ac:dyDescent="0.3">
      <c r="A90" s="65">
        <v>9</v>
      </c>
      <c r="B90" s="65">
        <v>3</v>
      </c>
      <c r="E90" s="47" t="s">
        <v>494</v>
      </c>
      <c r="F90" s="44">
        <f>IF(F88&gt;6,0,F89)</f>
        <v>0</v>
      </c>
      <c r="G90" s="30" t="s">
        <v>485</v>
      </c>
    </row>
    <row r="92" spans="1:7" s="1" customFormat="1" ht="45" customHeight="1" x14ac:dyDescent="0.25">
      <c r="A92" s="65">
        <v>9</v>
      </c>
      <c r="B92" s="65">
        <v>3</v>
      </c>
      <c r="C92" s="112"/>
      <c r="D92" s="112"/>
      <c r="E92" s="152" t="s">
        <v>2080</v>
      </c>
      <c r="F92" s="147" t="s">
        <v>2053</v>
      </c>
      <c r="G92" s="159"/>
    </row>
    <row r="93" spans="1:7" s="1" customFormat="1" x14ac:dyDescent="0.25">
      <c r="A93" s="64"/>
      <c r="B93" s="64"/>
      <c r="C93" s="112"/>
      <c r="D93" s="112"/>
      <c r="E93" s="112"/>
      <c r="F93" s="56"/>
      <c r="G93" s="150"/>
    </row>
  </sheetData>
  <sheetProtection algorithmName="SHA-512" hashValue="UcLXCiU+GdblEznG1IQ7MmU6srY9vCwKlsshAV46MPhxmQI2iRfAD56nPohIb8dbh44vv1KQ3mqjHzVlL7/TDQ==" saltValue="lwzVbYDwf1a3IN2G39jFFw==" spinCount="100000" sheet="1" formatRows="0" selectLockedCells="1"/>
  <mergeCells count="8">
    <mergeCell ref="D59:E59"/>
    <mergeCell ref="D72:E72"/>
    <mergeCell ref="D83:E83"/>
    <mergeCell ref="C2:E2"/>
    <mergeCell ref="D4:E4"/>
    <mergeCell ref="D21:E21"/>
    <mergeCell ref="D38:E38"/>
    <mergeCell ref="D49:E49"/>
  </mergeCells>
  <phoneticPr fontId="4" type="noConversion"/>
  <conditionalFormatting sqref="E1:E1048576">
    <cfRule type="containsText" dxfId="54" priority="2" operator="containsText" text="Safeguard Scoring Complete">
      <formula>NOT(ISERROR(SEARCH("Safeguard Scoring Complete",E1)))</formula>
    </cfRule>
    <cfRule type="containsText" dxfId="53" priority="24" operator="containsText" text="Safeguard Scoring Incomplete">
      <formula>NOT(ISERROR(SEARCH("Safeguard Scoring Incomplete",E1)))</formula>
    </cfRule>
  </conditionalFormatting>
  <dataValidations count="3">
    <dataValidation type="list" allowBlank="1" showInputMessage="1" showErrorMessage="1" sqref="F2" xr:uid="{32C09223-D9B7-499C-9B5E-72502E8E1AA7}">
      <formula1>"Assessed,Not Assessed"</formula1>
    </dataValidation>
    <dataValidation type="list" allowBlank="1" showInputMessage="1" showErrorMessage="1" sqref="F8:F12" xr:uid="{80EB8EB0-6508-4D9B-A1E7-29A3CA5E5FBF}">
      <formula1>"0,1"</formula1>
    </dataValidation>
    <dataValidation type="list" allowBlank="1" showInputMessage="1" showErrorMessage="1" sqref="E19 E36 E47 E57 E70 E81 E92" xr:uid="{E2B3F42F-99FF-4E38-8410-8D06C3C97290}">
      <formula1>"Safeguard Scoring Complete,Safeguard Scoring Incomplete"</formula1>
    </dataValidation>
  </dataValidations>
  <hyperlinks>
    <hyperlink ref="G2" r:id="rId1" xr:uid="{2EE42063-4D74-4C4A-A190-03E725BB7AD1}"/>
  </hyperlinks>
  <pageMargins left="0.7" right="0.7" top="0.75" bottom="0.75" header="0.3" footer="0.3"/>
  <ignoredErrors>
    <ignoredError sqref="F23" unlockedFormula="1"/>
  </ignoredErrors>
  <extLst>
    <ext xmlns:x14="http://schemas.microsoft.com/office/spreadsheetml/2009/9/main" uri="{78C0D931-6437-407d-A8EE-F0AAD7539E65}">
      <x14:conditionalFormattings>
        <x14:conditionalFormatting xmlns:xm="http://schemas.microsoft.com/office/excel/2006/main">
          <x14:cfRule type="expression" priority="1" id="{741B6B4F-18A4-4475-BE49-33ED81C2B6FB}">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4142-3C24-4D51-BF35-81A8E0BDD7EF}">
  <sheetPr codeName="Sheet6"/>
  <dimension ref="A2:G174"/>
  <sheetViews>
    <sheetView showGridLines="0" topLeftCell="A75" workbookViewId="0">
      <selection activeCell="E86" sqref="E86"/>
    </sheetView>
  </sheetViews>
  <sheetFormatPr defaultColWidth="9.140625" defaultRowHeight="15" x14ac:dyDescent="0.25"/>
  <cols>
    <col min="1" max="2" width="2.7109375" style="65" customWidth="1"/>
    <col min="3" max="3" width="5.7109375" style="53" customWidth="1"/>
    <col min="4" max="4" width="5.7109375" style="25" customWidth="1"/>
    <col min="5" max="5" width="90.7109375" style="25" customWidth="1"/>
    <col min="6" max="6" width="15.7109375" style="104" customWidth="1"/>
    <col min="7" max="7" width="120.7109375" style="25" customWidth="1"/>
    <col min="8" max="10" width="9.140625" style="25"/>
    <col min="11" max="11" width="11.5703125" style="25" bestFit="1" customWidth="1"/>
    <col min="12" max="16384" width="9.140625" style="25"/>
  </cols>
  <sheetData>
    <row r="2" spans="1:7" ht="15.75" x14ac:dyDescent="0.25">
      <c r="C2" s="216" t="s">
        <v>495</v>
      </c>
      <c r="D2" s="216"/>
      <c r="E2" s="216"/>
      <c r="F2" s="100" t="s">
        <v>318</v>
      </c>
      <c r="G2" s="208" t="s">
        <v>2187</v>
      </c>
    </row>
    <row r="4" spans="1:7" x14ac:dyDescent="0.25">
      <c r="A4" s="65">
        <v>0</v>
      </c>
      <c r="B4" s="65">
        <v>1</v>
      </c>
      <c r="C4" s="52">
        <v>3.01</v>
      </c>
      <c r="D4" s="215" t="s">
        <v>165</v>
      </c>
      <c r="E4" s="215"/>
      <c r="F4" s="27" t="s">
        <v>320</v>
      </c>
      <c r="G4" s="146" t="s">
        <v>321</v>
      </c>
    </row>
    <row r="5" spans="1:7" x14ac:dyDescent="0.25">
      <c r="A5" s="65">
        <v>0</v>
      </c>
      <c r="B5" s="65">
        <v>1</v>
      </c>
      <c r="D5" s="28" t="s">
        <v>322</v>
      </c>
      <c r="E5" s="28" t="s">
        <v>496</v>
      </c>
      <c r="F5" s="31"/>
      <c r="G5" s="30" t="s">
        <v>402</v>
      </c>
    </row>
    <row r="6" spans="1:7" x14ac:dyDescent="0.25">
      <c r="A6" s="65">
        <v>0</v>
      </c>
      <c r="B6" s="65">
        <v>1</v>
      </c>
      <c r="D6" s="28" t="s">
        <v>327</v>
      </c>
      <c r="E6" s="28" t="s">
        <v>497</v>
      </c>
      <c r="F6" s="31">
        <v>1</v>
      </c>
      <c r="G6" s="30" t="s">
        <v>402</v>
      </c>
    </row>
    <row r="7" spans="1:7" x14ac:dyDescent="0.25">
      <c r="A7" s="65">
        <v>0</v>
      </c>
      <c r="B7" s="65">
        <v>1</v>
      </c>
      <c r="D7" s="28" t="s">
        <v>330</v>
      </c>
      <c r="E7" s="28" t="s">
        <v>498</v>
      </c>
      <c r="F7" s="31"/>
      <c r="G7" s="30" t="s">
        <v>402</v>
      </c>
    </row>
    <row r="8" spans="1:7" x14ac:dyDescent="0.25">
      <c r="A8" s="65">
        <v>0</v>
      </c>
      <c r="B8" s="65">
        <v>1</v>
      </c>
      <c r="D8" s="28" t="s">
        <v>332</v>
      </c>
      <c r="E8" s="28" t="s">
        <v>499</v>
      </c>
      <c r="F8" s="31"/>
      <c r="G8" s="30" t="s">
        <v>402</v>
      </c>
    </row>
    <row r="9" spans="1:7" x14ac:dyDescent="0.25">
      <c r="A9" s="65">
        <v>0</v>
      </c>
      <c r="B9" s="65">
        <v>1</v>
      </c>
      <c r="D9" s="28" t="s">
        <v>335</v>
      </c>
      <c r="E9" s="28" t="s">
        <v>500</v>
      </c>
      <c r="F9" s="31"/>
      <c r="G9" s="30" t="s">
        <v>402</v>
      </c>
    </row>
    <row r="10" spans="1:7" ht="15.75" thickBot="1" x14ac:dyDescent="0.3">
      <c r="A10" s="65">
        <v>0</v>
      </c>
      <c r="B10" s="65">
        <v>1</v>
      </c>
      <c r="D10" s="28" t="s">
        <v>338</v>
      </c>
      <c r="E10" s="33" t="s">
        <v>501</v>
      </c>
      <c r="F10" s="34">
        <f>IF(Artifacts!E15="Artifact Provided",1,0)</f>
        <v>0</v>
      </c>
      <c r="G10" s="30" t="s">
        <v>324</v>
      </c>
    </row>
    <row r="11" spans="1:7" ht="15.75" thickBot="1" x14ac:dyDescent="0.3">
      <c r="A11" s="65">
        <v>0</v>
      </c>
      <c r="B11" s="65">
        <v>1</v>
      </c>
      <c r="E11" s="45" t="s">
        <v>502</v>
      </c>
      <c r="F11" s="46">
        <f>IFERROR(SUM(F5:F9)/5,0)</f>
        <v>0.2</v>
      </c>
      <c r="G11" s="37" t="s">
        <v>503</v>
      </c>
    </row>
    <row r="12" spans="1:7" ht="15.75" thickBot="1" x14ac:dyDescent="0.3">
      <c r="A12" s="65">
        <v>0</v>
      </c>
      <c r="B12" s="65">
        <v>1</v>
      </c>
      <c r="E12" s="47" t="s">
        <v>504</v>
      </c>
      <c r="F12" s="46">
        <f>IF(F10=0,0,F11)</f>
        <v>0</v>
      </c>
      <c r="G12" s="35" t="s">
        <v>505</v>
      </c>
    </row>
    <row r="14" spans="1:7" s="1" customFormat="1" ht="45" customHeight="1" x14ac:dyDescent="0.25">
      <c r="A14" s="65">
        <v>0</v>
      </c>
      <c r="B14" s="65">
        <v>1</v>
      </c>
      <c r="C14" s="112"/>
      <c r="D14" s="112"/>
      <c r="E14" s="152" t="s">
        <v>2080</v>
      </c>
      <c r="F14" s="147" t="s">
        <v>2053</v>
      </c>
      <c r="G14" s="159"/>
    </row>
    <row r="15" spans="1:7" s="1" customFormat="1" x14ac:dyDescent="0.25">
      <c r="A15" s="64"/>
      <c r="B15" s="64"/>
      <c r="C15" s="112"/>
      <c r="D15" s="112"/>
      <c r="E15" s="112"/>
      <c r="F15" s="56"/>
      <c r="G15" s="150"/>
    </row>
    <row r="16" spans="1:7" x14ac:dyDescent="0.25">
      <c r="A16" s="65">
        <v>0</v>
      </c>
      <c r="B16" s="65">
        <v>1</v>
      </c>
      <c r="C16" s="52">
        <v>3.02</v>
      </c>
      <c r="D16" s="215" t="s">
        <v>167</v>
      </c>
      <c r="E16" s="215"/>
      <c r="F16" s="27" t="s">
        <v>320</v>
      </c>
      <c r="G16" s="146" t="s">
        <v>321</v>
      </c>
    </row>
    <row r="17" spans="1:7" x14ac:dyDescent="0.25">
      <c r="A17" s="65">
        <v>0</v>
      </c>
      <c r="B17" s="65">
        <v>1</v>
      </c>
      <c r="D17" s="28" t="s">
        <v>322</v>
      </c>
      <c r="E17" s="28" t="s">
        <v>506</v>
      </c>
      <c r="F17" s="29">
        <f>F5</f>
        <v>0</v>
      </c>
      <c r="G17" s="30" t="s">
        <v>507</v>
      </c>
    </row>
    <row r="18" spans="1:7" x14ac:dyDescent="0.25">
      <c r="A18" s="65">
        <v>0</v>
      </c>
      <c r="B18" s="65">
        <v>1</v>
      </c>
      <c r="D18" s="28" t="s">
        <v>327</v>
      </c>
      <c r="E18" s="28" t="s">
        <v>508</v>
      </c>
      <c r="F18" s="31"/>
      <c r="G18" s="158" t="s">
        <v>509</v>
      </c>
    </row>
    <row r="19" spans="1:7" ht="30" x14ac:dyDescent="0.25">
      <c r="A19" s="65">
        <v>0</v>
      </c>
      <c r="B19" s="65">
        <v>1</v>
      </c>
      <c r="D19" s="28" t="s">
        <v>330</v>
      </c>
      <c r="E19" s="28" t="s">
        <v>510</v>
      </c>
      <c r="F19" s="29">
        <f>F25-F18</f>
        <v>0</v>
      </c>
      <c r="G19" s="30" t="s">
        <v>511</v>
      </c>
    </row>
    <row r="20" spans="1:7" ht="30" x14ac:dyDescent="0.25">
      <c r="A20" s="65">
        <v>0</v>
      </c>
      <c r="B20" s="65">
        <v>1</v>
      </c>
      <c r="D20" s="28" t="s">
        <v>332</v>
      </c>
      <c r="E20" s="28" t="s">
        <v>512</v>
      </c>
      <c r="F20" s="31"/>
      <c r="G20" s="158" t="s">
        <v>513</v>
      </c>
    </row>
    <row r="21" spans="1:7" ht="30" x14ac:dyDescent="0.25">
      <c r="A21" s="65">
        <v>0</v>
      </c>
      <c r="B21" s="65">
        <v>1</v>
      </c>
      <c r="D21" s="28" t="s">
        <v>335</v>
      </c>
      <c r="E21" s="28" t="s">
        <v>514</v>
      </c>
      <c r="F21" s="29">
        <f>F18-F20</f>
        <v>0</v>
      </c>
      <c r="G21" s="30" t="s">
        <v>515</v>
      </c>
    </row>
    <row r="22" spans="1:7" x14ac:dyDescent="0.25">
      <c r="A22" s="65">
        <v>0</v>
      </c>
      <c r="B22" s="65">
        <v>1</v>
      </c>
      <c r="D22" s="28" t="s">
        <v>338</v>
      </c>
      <c r="E22" s="28" t="s">
        <v>516</v>
      </c>
      <c r="F22" s="31"/>
      <c r="G22" s="158" t="s">
        <v>517</v>
      </c>
    </row>
    <row r="23" spans="1:7" ht="30" x14ac:dyDescent="0.25">
      <c r="A23" s="65">
        <v>0</v>
      </c>
      <c r="B23" s="65">
        <v>1</v>
      </c>
      <c r="D23" s="28" t="s">
        <v>341</v>
      </c>
      <c r="E23" s="28" t="s">
        <v>518</v>
      </c>
      <c r="F23" s="29">
        <f>F25-(F18+F22)</f>
        <v>0</v>
      </c>
      <c r="G23" s="30" t="s">
        <v>519</v>
      </c>
    </row>
    <row r="24" spans="1:7" x14ac:dyDescent="0.25">
      <c r="A24" s="65">
        <v>0</v>
      </c>
      <c r="B24" s="65">
        <v>1</v>
      </c>
      <c r="D24" s="28" t="s">
        <v>344</v>
      </c>
      <c r="E24" s="28" t="s">
        <v>520</v>
      </c>
      <c r="F24" s="29">
        <f>DATEDIF(Artifacts!F16,GlobalSettings!C4,"m")</f>
        <v>1508</v>
      </c>
      <c r="G24" s="30" t="s">
        <v>521</v>
      </c>
    </row>
    <row r="25" spans="1:7" ht="15.75" thickBot="1" x14ac:dyDescent="0.3">
      <c r="A25" s="65">
        <v>0</v>
      </c>
      <c r="B25" s="65">
        <v>1</v>
      </c>
      <c r="D25" s="28" t="s">
        <v>522</v>
      </c>
      <c r="E25" s="33" t="s">
        <v>523</v>
      </c>
      <c r="F25" s="41"/>
      <c r="G25" s="158"/>
    </row>
    <row r="26" spans="1:7" ht="15.75" thickBot="1" x14ac:dyDescent="0.3">
      <c r="A26" s="65">
        <v>0</v>
      </c>
      <c r="B26" s="65">
        <v>1</v>
      </c>
      <c r="E26" s="45" t="s">
        <v>524</v>
      </c>
      <c r="F26" s="46">
        <f>IFERROR(F20/F25,0)</f>
        <v>0</v>
      </c>
      <c r="G26" s="37" t="s">
        <v>525</v>
      </c>
    </row>
    <row r="27" spans="1:7" ht="15.75" thickBot="1" x14ac:dyDescent="0.3">
      <c r="A27" s="65">
        <v>0</v>
      </c>
      <c r="B27" s="65">
        <v>1</v>
      </c>
      <c r="E27" s="45" t="s">
        <v>526</v>
      </c>
      <c r="F27" s="46">
        <f>IFERROR((F21+F22)/F25,0)</f>
        <v>0</v>
      </c>
      <c r="G27" s="37" t="s">
        <v>527</v>
      </c>
    </row>
    <row r="28" spans="1:7" ht="30.75" thickBot="1" x14ac:dyDescent="0.3">
      <c r="A28" s="65">
        <v>0</v>
      </c>
      <c r="B28" s="65">
        <v>1</v>
      </c>
      <c r="E28" s="47" t="s">
        <v>528</v>
      </c>
      <c r="F28" s="44">
        <f>IF(F17=0,0,IF(F24&lt;=12,((F27*0.5)+F26),IF(GlobalSettings!$C$12="No",0,((F27*0.5)+F26))))</f>
        <v>0</v>
      </c>
      <c r="G28" s="37" t="s">
        <v>2066</v>
      </c>
    </row>
    <row r="30" spans="1:7" s="1" customFormat="1" ht="45" customHeight="1" x14ac:dyDescent="0.25">
      <c r="A30" s="65">
        <v>0</v>
      </c>
      <c r="B30" s="65">
        <v>1</v>
      </c>
      <c r="C30" s="53"/>
      <c r="D30" s="112"/>
      <c r="E30" s="152" t="s">
        <v>2080</v>
      </c>
      <c r="F30" s="147" t="s">
        <v>2053</v>
      </c>
      <c r="G30" s="159"/>
    </row>
    <row r="31" spans="1:7" s="1" customFormat="1" x14ac:dyDescent="0.25">
      <c r="A31" s="64"/>
      <c r="B31" s="64"/>
      <c r="C31" s="112"/>
      <c r="D31" s="112"/>
      <c r="E31" s="112"/>
      <c r="F31" s="56"/>
      <c r="G31" s="150"/>
    </row>
    <row r="32" spans="1:7" x14ac:dyDescent="0.25">
      <c r="A32" s="65">
        <v>9</v>
      </c>
      <c r="B32" s="65">
        <v>1</v>
      </c>
      <c r="C32" s="52">
        <v>3.03</v>
      </c>
      <c r="D32" s="215" t="s">
        <v>169</v>
      </c>
      <c r="E32" s="215"/>
      <c r="F32" s="27" t="s">
        <v>320</v>
      </c>
      <c r="G32" s="146" t="s">
        <v>321</v>
      </c>
    </row>
    <row r="33" spans="1:7" x14ac:dyDescent="0.25">
      <c r="A33" s="65">
        <v>9</v>
      </c>
      <c r="B33" s="65">
        <v>1</v>
      </c>
      <c r="D33" s="28" t="s">
        <v>322</v>
      </c>
      <c r="E33" s="28" t="s">
        <v>529</v>
      </c>
      <c r="F33" s="31"/>
      <c r="G33" s="158" t="s">
        <v>530</v>
      </c>
    </row>
    <row r="34" spans="1:7" x14ac:dyDescent="0.25">
      <c r="A34" s="65">
        <v>9</v>
      </c>
      <c r="B34" s="65">
        <v>1</v>
      </c>
      <c r="D34" s="28" t="s">
        <v>327</v>
      </c>
      <c r="E34" s="28" t="s">
        <v>531</v>
      </c>
      <c r="F34" s="29">
        <f>F38-F33</f>
        <v>0</v>
      </c>
      <c r="G34" s="30" t="s">
        <v>532</v>
      </c>
    </row>
    <row r="35" spans="1:7" x14ac:dyDescent="0.25">
      <c r="A35" s="65">
        <v>9</v>
      </c>
      <c r="B35" s="65">
        <v>1</v>
      </c>
      <c r="D35" s="28" t="s">
        <v>330</v>
      </c>
      <c r="E35" s="28" t="s">
        <v>533</v>
      </c>
      <c r="F35" s="31"/>
      <c r="G35" s="158" t="s">
        <v>534</v>
      </c>
    </row>
    <row r="36" spans="1:7" x14ac:dyDescent="0.25">
      <c r="A36" s="65">
        <v>9</v>
      </c>
      <c r="B36" s="65">
        <v>1</v>
      </c>
      <c r="D36" s="28" t="s">
        <v>332</v>
      </c>
      <c r="E36" s="28" t="s">
        <v>535</v>
      </c>
      <c r="F36" s="31"/>
      <c r="G36" s="158" t="s">
        <v>536</v>
      </c>
    </row>
    <row r="37" spans="1:7" x14ac:dyDescent="0.25">
      <c r="A37" s="65">
        <v>9</v>
      </c>
      <c r="B37" s="65">
        <v>1</v>
      </c>
      <c r="D37" s="28" t="s">
        <v>335</v>
      </c>
      <c r="E37" s="28" t="s">
        <v>537</v>
      </c>
      <c r="F37" s="29">
        <f>F35-F36</f>
        <v>0</v>
      </c>
      <c r="G37" s="30" t="s">
        <v>538</v>
      </c>
    </row>
    <row r="38" spans="1:7" x14ac:dyDescent="0.25">
      <c r="A38" s="65">
        <v>9</v>
      </c>
      <c r="B38" s="65">
        <v>1</v>
      </c>
      <c r="D38" s="28" t="s">
        <v>338</v>
      </c>
      <c r="E38" s="28" t="s">
        <v>539</v>
      </c>
      <c r="F38" s="31"/>
      <c r="G38" s="158"/>
    </row>
    <row r="39" spans="1:7" x14ac:dyDescent="0.25">
      <c r="A39" s="65">
        <v>9</v>
      </c>
      <c r="B39" s="65">
        <v>1</v>
      </c>
      <c r="D39" s="28" t="s">
        <v>341</v>
      </c>
      <c r="E39" s="28" t="s">
        <v>540</v>
      </c>
      <c r="F39" s="29">
        <f>F6</f>
        <v>1</v>
      </c>
      <c r="G39" s="30" t="s">
        <v>541</v>
      </c>
    </row>
    <row r="40" spans="1:7" ht="15.75" thickBot="1" x14ac:dyDescent="0.3">
      <c r="A40" s="65">
        <v>9</v>
      </c>
      <c r="B40" s="65">
        <v>1</v>
      </c>
      <c r="D40" s="28" t="s">
        <v>344</v>
      </c>
      <c r="E40" s="28" t="s">
        <v>542</v>
      </c>
      <c r="F40" s="29">
        <f>F7</f>
        <v>0</v>
      </c>
      <c r="G40" s="30" t="s">
        <v>543</v>
      </c>
    </row>
    <row r="41" spans="1:7" ht="15.75" thickBot="1" x14ac:dyDescent="0.3">
      <c r="A41" s="65">
        <v>9</v>
      </c>
      <c r="B41" s="65">
        <v>1</v>
      </c>
      <c r="C41" s="54"/>
      <c r="D41" s="51"/>
      <c r="E41" s="45" t="s">
        <v>544</v>
      </c>
      <c r="F41" s="46">
        <f>IFERROR(F33/F38,0)</f>
        <v>0</v>
      </c>
      <c r="G41" s="37" t="s">
        <v>365</v>
      </c>
    </row>
    <row r="42" spans="1:7" ht="15.75" thickBot="1" x14ac:dyDescent="0.3">
      <c r="A42" s="65">
        <v>9</v>
      </c>
      <c r="B42" s="65">
        <v>1</v>
      </c>
      <c r="C42" s="54"/>
      <c r="D42" s="51"/>
      <c r="E42" s="45" t="s">
        <v>545</v>
      </c>
      <c r="F42" s="46">
        <f>IFERROR(F36/F35,0)</f>
        <v>0</v>
      </c>
      <c r="G42" s="37" t="s">
        <v>380</v>
      </c>
    </row>
    <row r="43" spans="1:7" ht="15.75" thickBot="1" x14ac:dyDescent="0.3">
      <c r="A43" s="65">
        <v>9</v>
      </c>
      <c r="B43" s="65">
        <v>1</v>
      </c>
      <c r="C43" s="54"/>
      <c r="D43" s="51"/>
      <c r="E43" s="47" t="s">
        <v>546</v>
      </c>
      <c r="F43" s="44">
        <f>IF(OR(F39=0,F40=0),0,AVERAGE(F41,F42))</f>
        <v>0</v>
      </c>
      <c r="G43" s="37" t="s">
        <v>547</v>
      </c>
    </row>
    <row r="45" spans="1:7" s="1" customFormat="1" ht="45" customHeight="1" x14ac:dyDescent="0.25">
      <c r="A45" s="65">
        <v>9</v>
      </c>
      <c r="B45" s="65">
        <v>1</v>
      </c>
      <c r="C45" s="112"/>
      <c r="D45" s="112"/>
      <c r="E45" s="152" t="s">
        <v>2080</v>
      </c>
      <c r="F45" s="147" t="s">
        <v>2053</v>
      </c>
      <c r="G45" s="159"/>
    </row>
    <row r="46" spans="1:7" s="1" customFormat="1" x14ac:dyDescent="0.25">
      <c r="A46" s="64"/>
      <c r="B46" s="64"/>
      <c r="C46" s="112"/>
      <c r="D46" s="112"/>
      <c r="E46" s="112"/>
      <c r="F46" s="56"/>
      <c r="G46" s="150"/>
    </row>
    <row r="47" spans="1:7" x14ac:dyDescent="0.25">
      <c r="A47" s="65">
        <v>0</v>
      </c>
      <c r="B47" s="65">
        <v>1</v>
      </c>
      <c r="C47" s="52">
        <v>3.04</v>
      </c>
      <c r="D47" s="215" t="s">
        <v>171</v>
      </c>
      <c r="E47" s="215"/>
      <c r="F47" s="27" t="s">
        <v>320</v>
      </c>
      <c r="G47" s="146" t="s">
        <v>321</v>
      </c>
    </row>
    <row r="48" spans="1:7" x14ac:dyDescent="0.25">
      <c r="A48" s="65">
        <v>0</v>
      </c>
      <c r="B48" s="65">
        <v>1</v>
      </c>
      <c r="D48" s="28"/>
      <c r="E48" s="28" t="s">
        <v>549</v>
      </c>
      <c r="F48" s="29">
        <f>F8</f>
        <v>0</v>
      </c>
      <c r="G48" s="30" t="s">
        <v>550</v>
      </c>
    </row>
    <row r="49" spans="1:7" x14ac:dyDescent="0.25">
      <c r="A49" s="65">
        <v>0</v>
      </c>
      <c r="B49" s="65">
        <v>1</v>
      </c>
      <c r="D49" s="28" t="s">
        <v>322</v>
      </c>
      <c r="E49" s="28" t="s">
        <v>551</v>
      </c>
      <c r="F49" s="31"/>
      <c r="G49" s="158" t="s">
        <v>552</v>
      </c>
    </row>
    <row r="50" spans="1:7" x14ac:dyDescent="0.25">
      <c r="A50" s="65">
        <v>0</v>
      </c>
      <c r="B50" s="65">
        <v>1</v>
      </c>
      <c r="D50" s="28" t="s">
        <v>327</v>
      </c>
      <c r="E50" s="28" t="s">
        <v>553</v>
      </c>
      <c r="F50" s="31"/>
      <c r="G50" s="158" t="s">
        <v>554</v>
      </c>
    </row>
    <row r="51" spans="1:7" x14ac:dyDescent="0.25">
      <c r="A51" s="65">
        <v>0</v>
      </c>
      <c r="B51" s="65">
        <v>1</v>
      </c>
      <c r="D51" s="28" t="s">
        <v>330</v>
      </c>
      <c r="E51" s="28" t="s">
        <v>555</v>
      </c>
      <c r="F51" s="31"/>
      <c r="G51" s="158" t="s">
        <v>556</v>
      </c>
    </row>
    <row r="52" spans="1:7" x14ac:dyDescent="0.25">
      <c r="A52" s="65">
        <v>0</v>
      </c>
      <c r="B52" s="65">
        <v>1</v>
      </c>
      <c r="D52" s="28" t="s">
        <v>332</v>
      </c>
      <c r="E52" s="28" t="s">
        <v>557</v>
      </c>
      <c r="F52" s="31"/>
      <c r="G52" s="158" t="s">
        <v>558</v>
      </c>
    </row>
    <row r="53" spans="1:7" x14ac:dyDescent="0.25">
      <c r="A53" s="65">
        <v>0</v>
      </c>
      <c r="B53" s="65">
        <v>1</v>
      </c>
      <c r="D53" s="28" t="s">
        <v>335</v>
      </c>
      <c r="E53" s="28" t="s">
        <v>559</v>
      </c>
      <c r="F53" s="29">
        <f>F54-F52</f>
        <v>0</v>
      </c>
      <c r="G53" s="30" t="s">
        <v>560</v>
      </c>
    </row>
    <row r="54" spans="1:7" ht="15.75" thickBot="1" x14ac:dyDescent="0.3">
      <c r="A54" s="65">
        <v>0</v>
      </c>
      <c r="B54" s="65">
        <v>1</v>
      </c>
      <c r="D54" s="28" t="s">
        <v>338</v>
      </c>
      <c r="E54" s="28" t="s">
        <v>523</v>
      </c>
      <c r="F54" s="29">
        <f>F25</f>
        <v>0</v>
      </c>
      <c r="G54" s="30" t="s">
        <v>561</v>
      </c>
    </row>
    <row r="55" spans="1:7" ht="15.75" thickBot="1" x14ac:dyDescent="0.3">
      <c r="A55" s="65">
        <v>0</v>
      </c>
      <c r="B55" s="65">
        <v>1</v>
      </c>
      <c r="C55" s="54"/>
      <c r="D55" s="51"/>
      <c r="E55" s="45" t="s">
        <v>562</v>
      </c>
      <c r="F55" s="46">
        <f>IFERROR(F50/F49,0)</f>
        <v>0</v>
      </c>
      <c r="G55" s="37" t="s">
        <v>378</v>
      </c>
    </row>
    <row r="56" spans="1:7" ht="15.75" thickBot="1" x14ac:dyDescent="0.3">
      <c r="A56" s="65">
        <v>0</v>
      </c>
      <c r="B56" s="65">
        <v>1</v>
      </c>
      <c r="C56" s="54"/>
      <c r="D56" s="51"/>
      <c r="E56" s="45" t="s">
        <v>563</v>
      </c>
      <c r="F56" s="46">
        <f>IFERROR(F51/F49,0)</f>
        <v>0</v>
      </c>
      <c r="G56" s="37" t="s">
        <v>436</v>
      </c>
    </row>
    <row r="57" spans="1:7" ht="15.75" thickBot="1" x14ac:dyDescent="0.3">
      <c r="A57" s="65">
        <v>0</v>
      </c>
      <c r="B57" s="65">
        <v>1</v>
      </c>
      <c r="C57" s="54"/>
      <c r="D57" s="51"/>
      <c r="E57" s="45" t="s">
        <v>564</v>
      </c>
      <c r="F57" s="46">
        <f>IFERROR(F52/F54,0)</f>
        <v>0</v>
      </c>
      <c r="G57" s="37" t="s">
        <v>565</v>
      </c>
    </row>
    <row r="58" spans="1:7" ht="15.75" thickBot="1" x14ac:dyDescent="0.3">
      <c r="A58" s="65">
        <v>0</v>
      </c>
      <c r="B58" s="65">
        <v>1</v>
      </c>
      <c r="C58" s="54"/>
      <c r="D58" s="51"/>
      <c r="E58" s="47" t="s">
        <v>566</v>
      </c>
      <c r="F58" s="44">
        <f>IF(F48=0,0,AVERAGE(F57,AVERAGE(F55:F56)))</f>
        <v>0</v>
      </c>
      <c r="G58" s="37" t="s">
        <v>567</v>
      </c>
    </row>
    <row r="60" spans="1:7" s="1" customFormat="1" ht="45" customHeight="1" x14ac:dyDescent="0.25">
      <c r="A60" s="65">
        <v>0</v>
      </c>
      <c r="B60" s="65">
        <v>1</v>
      </c>
      <c r="C60" s="54"/>
      <c r="D60" s="112"/>
      <c r="E60" s="152" t="s">
        <v>2080</v>
      </c>
      <c r="F60" s="147" t="s">
        <v>2053</v>
      </c>
      <c r="G60" s="159"/>
    </row>
    <row r="61" spans="1:7" s="1" customFormat="1" x14ac:dyDescent="0.25">
      <c r="A61" s="64"/>
      <c r="B61" s="64"/>
      <c r="C61" s="112"/>
      <c r="D61" s="112"/>
      <c r="E61" s="112"/>
      <c r="F61" s="56"/>
      <c r="G61" s="150"/>
    </row>
    <row r="62" spans="1:7" x14ac:dyDescent="0.25">
      <c r="A62" s="65">
        <v>0</v>
      </c>
      <c r="B62" s="65">
        <v>1</v>
      </c>
      <c r="C62" s="52">
        <v>3.05</v>
      </c>
      <c r="D62" s="215" t="s">
        <v>173</v>
      </c>
      <c r="E62" s="215"/>
      <c r="F62" s="27" t="s">
        <v>320</v>
      </c>
      <c r="G62" s="146" t="s">
        <v>321</v>
      </c>
    </row>
    <row r="63" spans="1:7" ht="30" x14ac:dyDescent="0.25">
      <c r="A63" s="65">
        <v>0</v>
      </c>
      <c r="B63" s="65">
        <v>1</v>
      </c>
      <c r="D63" s="28"/>
      <c r="E63" s="28" t="s">
        <v>568</v>
      </c>
      <c r="F63" s="29">
        <f>F9</f>
        <v>0</v>
      </c>
      <c r="G63" s="30" t="s">
        <v>569</v>
      </c>
    </row>
    <row r="64" spans="1:7" x14ac:dyDescent="0.25">
      <c r="A64" s="65">
        <v>0</v>
      </c>
      <c r="B64" s="65">
        <v>1</v>
      </c>
      <c r="D64" s="28" t="s">
        <v>322</v>
      </c>
      <c r="E64" s="28" t="s">
        <v>539</v>
      </c>
      <c r="F64" s="31"/>
      <c r="G64" s="158"/>
    </row>
    <row r="65" spans="1:7" x14ac:dyDescent="0.25">
      <c r="A65" s="65">
        <v>0</v>
      </c>
      <c r="B65" s="65">
        <v>1</v>
      </c>
      <c r="D65" s="28" t="s">
        <v>327</v>
      </c>
      <c r="E65" s="28" t="s">
        <v>570</v>
      </c>
      <c r="F65" s="31"/>
      <c r="G65" s="158" t="s">
        <v>571</v>
      </c>
    </row>
    <row r="66" spans="1:7" x14ac:dyDescent="0.25">
      <c r="A66" s="65">
        <v>0</v>
      </c>
      <c r="B66" s="65">
        <v>1</v>
      </c>
      <c r="D66" s="28" t="s">
        <v>330</v>
      </c>
      <c r="E66" s="28" t="s">
        <v>572</v>
      </c>
      <c r="F66" s="29">
        <f>F64-F65</f>
        <v>0</v>
      </c>
      <c r="G66" s="30" t="s">
        <v>573</v>
      </c>
    </row>
    <row r="67" spans="1:7" x14ac:dyDescent="0.25">
      <c r="A67" s="65">
        <v>0</v>
      </c>
      <c r="B67" s="65">
        <v>1</v>
      </c>
      <c r="D67" s="28" t="s">
        <v>332</v>
      </c>
      <c r="E67" s="28" t="s">
        <v>574</v>
      </c>
      <c r="F67" s="29">
        <f>F69-F68</f>
        <v>0</v>
      </c>
      <c r="G67" s="30" t="s">
        <v>575</v>
      </c>
    </row>
    <row r="68" spans="1:7" x14ac:dyDescent="0.25">
      <c r="A68" s="65">
        <v>0</v>
      </c>
      <c r="B68" s="65">
        <v>1</v>
      </c>
      <c r="D68" s="28" t="s">
        <v>335</v>
      </c>
      <c r="E68" s="28" t="s">
        <v>576</v>
      </c>
      <c r="F68" s="31"/>
      <c r="G68" s="158" t="s">
        <v>577</v>
      </c>
    </row>
    <row r="69" spans="1:7" ht="15.75" thickBot="1" x14ac:dyDescent="0.3">
      <c r="A69" s="65">
        <v>0</v>
      </c>
      <c r="B69" s="65">
        <v>1</v>
      </c>
      <c r="D69" s="28" t="s">
        <v>338</v>
      </c>
      <c r="E69" s="28" t="s">
        <v>523</v>
      </c>
      <c r="F69" s="29">
        <f>F25</f>
        <v>0</v>
      </c>
      <c r="G69" s="30" t="s">
        <v>561</v>
      </c>
    </row>
    <row r="70" spans="1:7" ht="15.75" thickBot="1" x14ac:dyDescent="0.3">
      <c r="A70" s="65">
        <v>0</v>
      </c>
      <c r="B70" s="65">
        <v>1</v>
      </c>
      <c r="C70" s="54"/>
      <c r="D70" s="51"/>
      <c r="E70" s="45" t="s">
        <v>578</v>
      </c>
      <c r="F70" s="46">
        <f>IFERROR(F65/F64,0)</f>
        <v>0</v>
      </c>
      <c r="G70" s="37" t="s">
        <v>378</v>
      </c>
    </row>
    <row r="71" spans="1:7" ht="15.75" thickBot="1" x14ac:dyDescent="0.3">
      <c r="A71" s="65">
        <v>0</v>
      </c>
      <c r="B71" s="65">
        <v>1</v>
      </c>
      <c r="C71" s="54"/>
      <c r="D71" s="51"/>
      <c r="E71" s="45" t="s">
        <v>579</v>
      </c>
      <c r="F71" s="46">
        <f>IFERROR(F68/F69,0)</f>
        <v>0</v>
      </c>
      <c r="G71" s="37" t="s">
        <v>580</v>
      </c>
    </row>
    <row r="72" spans="1:7" ht="15.75" thickBot="1" x14ac:dyDescent="0.3">
      <c r="A72" s="65">
        <v>0</v>
      </c>
      <c r="B72" s="65">
        <v>1</v>
      </c>
      <c r="C72" s="54"/>
      <c r="D72" s="51"/>
      <c r="E72" s="47" t="s">
        <v>581</v>
      </c>
      <c r="F72" s="44">
        <f>(IF(F63=0,0,AVERAGE(F70,F71)))</f>
        <v>0</v>
      </c>
      <c r="G72" s="37" t="s">
        <v>582</v>
      </c>
    </row>
    <row r="74" spans="1:7" s="1" customFormat="1" ht="45" customHeight="1" x14ac:dyDescent="0.25">
      <c r="A74" s="65">
        <v>0</v>
      </c>
      <c r="B74" s="65">
        <v>1</v>
      </c>
      <c r="C74" s="54"/>
      <c r="D74" s="112"/>
      <c r="E74" s="152" t="s">
        <v>2080</v>
      </c>
      <c r="F74" s="147" t="s">
        <v>2053</v>
      </c>
      <c r="G74" s="159"/>
    </row>
    <row r="75" spans="1:7" s="1" customFormat="1" x14ac:dyDescent="0.25">
      <c r="A75" s="64"/>
      <c r="B75" s="64"/>
      <c r="C75" s="112"/>
      <c r="D75" s="112"/>
      <c r="E75" s="112"/>
      <c r="F75" s="56"/>
      <c r="G75" s="150"/>
    </row>
    <row r="76" spans="1:7" x14ac:dyDescent="0.25">
      <c r="A76" s="65">
        <v>0</v>
      </c>
      <c r="B76" s="65">
        <v>1</v>
      </c>
      <c r="C76" s="52">
        <v>3.06</v>
      </c>
      <c r="D76" s="215" t="s">
        <v>175</v>
      </c>
      <c r="E76" s="215"/>
      <c r="F76" s="27" t="s">
        <v>320</v>
      </c>
      <c r="G76" s="146" t="s">
        <v>321</v>
      </c>
    </row>
    <row r="77" spans="1:7" x14ac:dyDescent="0.25">
      <c r="A77" s="65">
        <v>0</v>
      </c>
      <c r="B77" s="65">
        <v>1</v>
      </c>
      <c r="D77" s="28" t="s">
        <v>322</v>
      </c>
      <c r="E77" s="28" t="s">
        <v>583</v>
      </c>
      <c r="F77" s="31"/>
      <c r="G77" s="158" t="s">
        <v>584</v>
      </c>
    </row>
    <row r="78" spans="1:7" x14ac:dyDescent="0.25">
      <c r="A78" s="65">
        <v>0</v>
      </c>
      <c r="B78" s="65">
        <v>1</v>
      </c>
      <c r="D78" s="28" t="s">
        <v>327</v>
      </c>
      <c r="E78" s="28" t="s">
        <v>585</v>
      </c>
      <c r="F78" s="31"/>
      <c r="G78" s="158" t="s">
        <v>586</v>
      </c>
    </row>
    <row r="79" spans="1:7" x14ac:dyDescent="0.25">
      <c r="A79" s="65">
        <v>0</v>
      </c>
      <c r="B79" s="65">
        <v>1</v>
      </c>
      <c r="D79" s="28" t="s">
        <v>330</v>
      </c>
      <c r="E79" s="28" t="s">
        <v>587</v>
      </c>
      <c r="F79" s="29">
        <f>F77-F78</f>
        <v>0</v>
      </c>
      <c r="G79" s="30" t="s">
        <v>588</v>
      </c>
    </row>
    <row r="80" spans="1:7" ht="30" x14ac:dyDescent="0.25">
      <c r="A80" s="65">
        <v>0</v>
      </c>
      <c r="B80" s="65">
        <v>1</v>
      </c>
      <c r="D80" s="28" t="s">
        <v>332</v>
      </c>
      <c r="E80" s="28" t="s">
        <v>589</v>
      </c>
      <c r="F80" s="31"/>
      <c r="G80" s="158" t="s">
        <v>2096</v>
      </c>
    </row>
    <row r="81" spans="1:7" ht="15.75" thickBot="1" x14ac:dyDescent="0.3">
      <c r="A81" s="65">
        <v>0</v>
      </c>
      <c r="B81" s="65">
        <v>1</v>
      </c>
      <c r="D81" s="28" t="s">
        <v>335</v>
      </c>
      <c r="E81" s="28" t="s">
        <v>590</v>
      </c>
      <c r="F81" s="29">
        <f>F78-F80</f>
        <v>0</v>
      </c>
      <c r="G81" s="30" t="s">
        <v>591</v>
      </c>
    </row>
    <row r="82" spans="1:7" ht="15.75" thickBot="1" x14ac:dyDescent="0.3">
      <c r="A82" s="65">
        <v>0</v>
      </c>
      <c r="B82" s="65">
        <v>1</v>
      </c>
      <c r="C82" s="54"/>
      <c r="D82" s="51"/>
      <c r="E82" s="45" t="s">
        <v>592</v>
      </c>
      <c r="F82" s="46">
        <f>IFERROR(F78/F77,0)</f>
        <v>0</v>
      </c>
      <c r="G82" s="37" t="s">
        <v>378</v>
      </c>
    </row>
    <row r="83" spans="1:7" ht="30.75" thickBot="1" x14ac:dyDescent="0.3">
      <c r="A83" s="65">
        <v>0</v>
      </c>
      <c r="B83" s="65">
        <v>1</v>
      </c>
      <c r="C83" s="54"/>
      <c r="D83" s="51"/>
      <c r="E83" s="45" t="s">
        <v>593</v>
      </c>
      <c r="F83" s="46">
        <f>IFERROR(F80/F77,0)</f>
        <v>0</v>
      </c>
      <c r="G83" s="37" t="s">
        <v>434</v>
      </c>
    </row>
    <row r="84" spans="1:7" ht="15.75" thickBot="1" x14ac:dyDescent="0.3">
      <c r="A84" s="65">
        <v>0</v>
      </c>
      <c r="B84" s="65">
        <v>1</v>
      </c>
      <c r="C84" s="54"/>
      <c r="D84" s="51"/>
      <c r="E84" s="47" t="s">
        <v>594</v>
      </c>
      <c r="F84" s="44">
        <f>F83</f>
        <v>0</v>
      </c>
      <c r="G84" s="37"/>
    </row>
    <row r="86" spans="1:7" s="1" customFormat="1" ht="45" customHeight="1" x14ac:dyDescent="0.25">
      <c r="A86" s="65">
        <v>0</v>
      </c>
      <c r="B86" s="65">
        <v>1</v>
      </c>
      <c r="C86" s="54"/>
      <c r="D86" s="54"/>
      <c r="E86" s="152" t="s">
        <v>2080</v>
      </c>
      <c r="F86" s="147" t="s">
        <v>2053</v>
      </c>
      <c r="G86" s="159"/>
    </row>
    <row r="87" spans="1:7" s="1" customFormat="1" x14ac:dyDescent="0.25">
      <c r="A87" s="64"/>
      <c r="B87" s="64"/>
      <c r="C87" s="112"/>
      <c r="D87" s="112"/>
      <c r="E87" s="112"/>
      <c r="F87" s="56"/>
      <c r="G87" s="150"/>
    </row>
    <row r="88" spans="1:7" x14ac:dyDescent="0.25">
      <c r="A88" s="65">
        <v>0</v>
      </c>
      <c r="B88" s="65">
        <v>2</v>
      </c>
      <c r="C88" s="52">
        <v>3.07</v>
      </c>
      <c r="D88" s="215" t="s">
        <v>177</v>
      </c>
      <c r="E88" s="215"/>
      <c r="F88" s="27" t="s">
        <v>320</v>
      </c>
      <c r="G88" s="146" t="s">
        <v>321</v>
      </c>
    </row>
    <row r="89" spans="1:7" x14ac:dyDescent="0.25">
      <c r="A89" s="65">
        <v>0</v>
      </c>
      <c r="B89" s="65">
        <v>2</v>
      </c>
      <c r="D89" s="28" t="s">
        <v>322</v>
      </c>
      <c r="E89" s="28" t="s">
        <v>2170</v>
      </c>
      <c r="F89" s="29">
        <f>IF(Artifacts!$E$49="Artifact Provided",1,0)</f>
        <v>0</v>
      </c>
      <c r="G89" s="30" t="s">
        <v>595</v>
      </c>
    </row>
    <row r="90" spans="1:7" x14ac:dyDescent="0.25">
      <c r="A90" s="65">
        <v>0</v>
      </c>
      <c r="B90" s="65">
        <v>2</v>
      </c>
      <c r="D90" s="28" t="s">
        <v>327</v>
      </c>
      <c r="E90" s="28" t="s">
        <v>596</v>
      </c>
      <c r="F90" s="31"/>
      <c r="G90" s="158" t="s">
        <v>597</v>
      </c>
    </row>
    <row r="91" spans="1:7" x14ac:dyDescent="0.25">
      <c r="A91" s="65">
        <v>0</v>
      </c>
      <c r="B91" s="65">
        <v>2</v>
      </c>
      <c r="D91" s="28" t="s">
        <v>330</v>
      </c>
      <c r="E91" s="28" t="s">
        <v>598</v>
      </c>
      <c r="F91" s="29">
        <f>F94-F90</f>
        <v>0</v>
      </c>
      <c r="G91" s="30" t="s">
        <v>599</v>
      </c>
    </row>
    <row r="92" spans="1:7" x14ac:dyDescent="0.25">
      <c r="A92" s="65">
        <v>0</v>
      </c>
      <c r="B92" s="65">
        <v>2</v>
      </c>
      <c r="D92" s="28" t="s">
        <v>332</v>
      </c>
      <c r="E92" s="28" t="s">
        <v>600</v>
      </c>
      <c r="F92" s="31"/>
      <c r="G92" s="158" t="s">
        <v>601</v>
      </c>
    </row>
    <row r="93" spans="1:7" x14ac:dyDescent="0.25">
      <c r="A93" s="65">
        <v>0</v>
      </c>
      <c r="B93" s="65">
        <v>2</v>
      </c>
      <c r="D93" s="28" t="s">
        <v>335</v>
      </c>
      <c r="E93" s="28" t="s">
        <v>602</v>
      </c>
      <c r="F93" s="29">
        <f>F95-F92</f>
        <v>0</v>
      </c>
      <c r="G93" s="30" t="s">
        <v>603</v>
      </c>
    </row>
    <row r="94" spans="1:7" x14ac:dyDescent="0.25">
      <c r="A94" s="65">
        <v>0</v>
      </c>
      <c r="B94" s="65">
        <v>2</v>
      </c>
      <c r="D94" s="28" t="s">
        <v>338</v>
      </c>
      <c r="E94" s="28" t="s">
        <v>539</v>
      </c>
      <c r="F94" s="31"/>
      <c r="G94" s="158"/>
    </row>
    <row r="95" spans="1:7" x14ac:dyDescent="0.25">
      <c r="A95" s="65">
        <v>0</v>
      </c>
      <c r="B95" s="65">
        <v>2</v>
      </c>
      <c r="D95" s="28" t="s">
        <v>341</v>
      </c>
      <c r="E95" s="28" t="s">
        <v>523</v>
      </c>
      <c r="F95" s="29">
        <f>F25</f>
        <v>0</v>
      </c>
      <c r="G95" s="30" t="s">
        <v>561</v>
      </c>
    </row>
    <row r="96" spans="1:7" ht="15.75" thickBot="1" x14ac:dyDescent="0.3">
      <c r="A96" s="65">
        <v>0</v>
      </c>
      <c r="B96" s="65">
        <v>2</v>
      </c>
      <c r="D96" s="28" t="s">
        <v>344</v>
      </c>
      <c r="E96" t="s">
        <v>604</v>
      </c>
      <c r="F96" s="29">
        <f>DATEDIF(Artifacts!$F$49,GlobalSettings!$C$4,"m")</f>
        <v>1508</v>
      </c>
      <c r="G96" s="30" t="s">
        <v>2171</v>
      </c>
    </row>
    <row r="97" spans="1:7" ht="15.75" thickBot="1" x14ac:dyDescent="0.3">
      <c r="A97" s="65">
        <v>0</v>
      </c>
      <c r="B97" s="65">
        <v>2</v>
      </c>
      <c r="C97" s="54"/>
      <c r="D97" s="51"/>
      <c r="E97" s="45" t="s">
        <v>605</v>
      </c>
      <c r="F97" s="46">
        <f>IFERROR(F90/F94,0)</f>
        <v>0</v>
      </c>
      <c r="G97" s="37" t="s">
        <v>606</v>
      </c>
    </row>
    <row r="98" spans="1:7" ht="15.75" thickBot="1" x14ac:dyDescent="0.3">
      <c r="A98" s="65">
        <v>0</v>
      </c>
      <c r="B98" s="65">
        <v>2</v>
      </c>
      <c r="C98" s="54"/>
      <c r="D98" s="51"/>
      <c r="E98" s="45" t="s">
        <v>607</v>
      </c>
      <c r="F98" s="46">
        <f>IFERROR(F92/F95,0)</f>
        <v>0</v>
      </c>
      <c r="G98" s="37" t="s">
        <v>608</v>
      </c>
    </row>
    <row r="99" spans="1:7" ht="15.75" thickBot="1" x14ac:dyDescent="0.3">
      <c r="A99" s="65">
        <v>0</v>
      </c>
      <c r="B99" s="65">
        <v>2</v>
      </c>
      <c r="C99" s="54"/>
      <c r="D99" s="51"/>
      <c r="E99" s="47" t="s">
        <v>609</v>
      </c>
      <c r="F99" s="44">
        <f>IF(F89=0,0,IF(F96&lt;=GlobalSettings!$C$8,(F97+F98)/2,IF(GlobalSettings!$C$10="No",0,((F97+F98)/2)*(GlobalSettings!$C$6-0.01))))</f>
        <v>0</v>
      </c>
      <c r="G99" s="37" t="s">
        <v>610</v>
      </c>
    </row>
    <row r="101" spans="1:7" s="1" customFormat="1" ht="45" customHeight="1" x14ac:dyDescent="0.25">
      <c r="A101" s="65">
        <v>0</v>
      </c>
      <c r="B101" s="65">
        <v>2</v>
      </c>
      <c r="C101" s="54"/>
      <c r="D101" s="112"/>
      <c r="E101" s="152" t="s">
        <v>2080</v>
      </c>
      <c r="F101" s="147" t="s">
        <v>2053</v>
      </c>
      <c r="G101" s="159"/>
    </row>
    <row r="102" spans="1:7" s="1" customFormat="1" x14ac:dyDescent="0.25">
      <c r="A102" s="64"/>
      <c r="B102" s="64"/>
      <c r="C102" s="112"/>
      <c r="D102" s="112"/>
      <c r="E102" s="112"/>
      <c r="F102" s="56"/>
      <c r="G102" s="150"/>
    </row>
    <row r="103" spans="1:7" x14ac:dyDescent="0.25">
      <c r="A103" s="65">
        <v>9</v>
      </c>
      <c r="B103" s="65">
        <v>2</v>
      </c>
      <c r="C103" s="52">
        <v>3.08</v>
      </c>
      <c r="D103" s="215" t="s">
        <v>178</v>
      </c>
      <c r="E103" s="215"/>
      <c r="F103" s="27" t="s">
        <v>320</v>
      </c>
      <c r="G103" s="146" t="s">
        <v>321</v>
      </c>
    </row>
    <row r="104" spans="1:7" x14ac:dyDescent="0.25">
      <c r="A104" s="65">
        <v>9</v>
      </c>
      <c r="B104" s="65">
        <v>2</v>
      </c>
      <c r="D104" s="28" t="s">
        <v>322</v>
      </c>
      <c r="E104" s="28" t="s">
        <v>611</v>
      </c>
      <c r="F104" s="31"/>
      <c r="G104" s="30" t="s">
        <v>612</v>
      </c>
    </row>
    <row r="105" spans="1:7" x14ac:dyDescent="0.25">
      <c r="A105" s="65">
        <v>9</v>
      </c>
      <c r="B105" s="65">
        <v>2</v>
      </c>
      <c r="D105" s="28" t="s">
        <v>327</v>
      </c>
      <c r="E105" s="28" t="s">
        <v>613</v>
      </c>
      <c r="F105" s="31"/>
      <c r="G105" s="158" t="s">
        <v>614</v>
      </c>
    </row>
    <row r="106" spans="1:7" x14ac:dyDescent="0.25">
      <c r="A106" s="65">
        <v>9</v>
      </c>
      <c r="B106" s="65">
        <v>2</v>
      </c>
      <c r="D106" s="28" t="s">
        <v>330</v>
      </c>
      <c r="E106" s="28" t="s">
        <v>615</v>
      </c>
      <c r="F106" s="31"/>
      <c r="G106" s="158" t="s">
        <v>616</v>
      </c>
    </row>
    <row r="107" spans="1:7" x14ac:dyDescent="0.25">
      <c r="A107" s="65">
        <v>9</v>
      </c>
      <c r="B107" s="65">
        <v>2</v>
      </c>
      <c r="D107" s="28" t="s">
        <v>332</v>
      </c>
      <c r="E107" s="28" t="s">
        <v>617</v>
      </c>
      <c r="F107" s="29">
        <f>F105-F106</f>
        <v>0</v>
      </c>
      <c r="G107" s="30" t="s">
        <v>618</v>
      </c>
    </row>
    <row r="108" spans="1:7" ht="15.75" thickBot="1" x14ac:dyDescent="0.3">
      <c r="A108" s="65">
        <v>9</v>
      </c>
      <c r="B108" s="65">
        <v>2</v>
      </c>
      <c r="D108" s="28" t="s">
        <v>335</v>
      </c>
      <c r="E108" s="28" t="s">
        <v>619</v>
      </c>
      <c r="F108" s="31"/>
      <c r="G108" s="158" t="s">
        <v>620</v>
      </c>
    </row>
    <row r="109" spans="1:7" ht="15.75" thickBot="1" x14ac:dyDescent="0.3">
      <c r="A109" s="65">
        <v>9</v>
      </c>
      <c r="B109" s="65">
        <v>2</v>
      </c>
      <c r="C109" s="54"/>
      <c r="D109" s="51"/>
      <c r="E109" s="45" t="s">
        <v>621</v>
      </c>
      <c r="F109" s="46">
        <f>IFERROR(F106/F105,0)</f>
        <v>0</v>
      </c>
      <c r="G109" s="37" t="s">
        <v>348</v>
      </c>
    </row>
    <row r="110" spans="1:7" ht="15.75" thickBot="1" x14ac:dyDescent="0.3">
      <c r="A110" s="65">
        <v>9</v>
      </c>
      <c r="B110" s="65">
        <v>2</v>
      </c>
      <c r="C110" s="54"/>
      <c r="D110" s="51"/>
      <c r="E110" s="47" t="s">
        <v>622</v>
      </c>
      <c r="F110" s="44">
        <f>IF(F104=0,0,IF(F108&lt;=GlobalSettings!$C$8,F109,IF(GlobalSettings!$C$10="No",0,F109*(GlobalSettings!$C$6-0.01))))</f>
        <v>0</v>
      </c>
      <c r="G110" s="37" t="s">
        <v>623</v>
      </c>
    </row>
    <row r="112" spans="1:7" s="1" customFormat="1" ht="45" customHeight="1" x14ac:dyDescent="0.25">
      <c r="A112" s="65">
        <v>9</v>
      </c>
      <c r="B112" s="65">
        <v>2</v>
      </c>
      <c r="C112" s="112"/>
      <c r="D112" s="112"/>
      <c r="E112" s="152" t="s">
        <v>2080</v>
      </c>
      <c r="F112" s="147" t="s">
        <v>2053</v>
      </c>
      <c r="G112" s="159"/>
    </row>
    <row r="113" spans="1:7" s="1" customFormat="1" x14ac:dyDescent="0.25">
      <c r="A113" s="64"/>
      <c r="B113" s="64"/>
      <c r="C113" s="112"/>
      <c r="D113" s="112"/>
      <c r="E113" s="112"/>
      <c r="F113" s="56"/>
      <c r="G113" s="150"/>
    </row>
    <row r="114" spans="1:7" x14ac:dyDescent="0.25">
      <c r="A114" s="65">
        <v>9</v>
      </c>
      <c r="B114" s="65">
        <v>2</v>
      </c>
      <c r="C114" s="52">
        <v>3.09</v>
      </c>
      <c r="D114" s="215" t="s">
        <v>180</v>
      </c>
      <c r="E114" s="215"/>
      <c r="F114" s="27" t="s">
        <v>320</v>
      </c>
      <c r="G114" s="146" t="s">
        <v>321</v>
      </c>
    </row>
    <row r="115" spans="1:7" x14ac:dyDescent="0.25">
      <c r="A115" s="65">
        <v>9</v>
      </c>
      <c r="B115" s="65">
        <v>2</v>
      </c>
      <c r="D115" s="28" t="s">
        <v>322</v>
      </c>
      <c r="E115" s="28" t="s">
        <v>624</v>
      </c>
      <c r="F115" s="31"/>
      <c r="G115" s="158" t="s">
        <v>625</v>
      </c>
    </row>
    <row r="116" spans="1:7" x14ac:dyDescent="0.25">
      <c r="A116" s="65">
        <v>9</v>
      </c>
      <c r="B116" s="65">
        <v>2</v>
      </c>
      <c r="D116" s="28" t="s">
        <v>327</v>
      </c>
      <c r="E116" s="28" t="s">
        <v>626</v>
      </c>
      <c r="F116" s="31"/>
      <c r="G116" s="158" t="s">
        <v>627</v>
      </c>
    </row>
    <row r="117" spans="1:7" x14ac:dyDescent="0.25">
      <c r="A117" s="65">
        <v>9</v>
      </c>
      <c r="B117" s="65">
        <v>2</v>
      </c>
      <c r="D117" s="28" t="s">
        <v>330</v>
      </c>
      <c r="E117" s="28" t="s">
        <v>628</v>
      </c>
      <c r="F117" s="29">
        <f>F115-F116</f>
        <v>0</v>
      </c>
      <c r="G117" s="30" t="s">
        <v>629</v>
      </c>
    </row>
    <row r="118" spans="1:7" x14ac:dyDescent="0.25">
      <c r="A118" s="65">
        <v>9</v>
      </c>
      <c r="B118" s="65">
        <v>2</v>
      </c>
      <c r="D118" s="28" t="s">
        <v>332</v>
      </c>
      <c r="E118" s="28" t="s">
        <v>630</v>
      </c>
      <c r="F118" s="31"/>
      <c r="G118" s="158" t="s">
        <v>631</v>
      </c>
    </row>
    <row r="119" spans="1:7" ht="15.75" thickBot="1" x14ac:dyDescent="0.3">
      <c r="A119" s="65">
        <v>9</v>
      </c>
      <c r="B119" s="65">
        <v>2</v>
      </c>
      <c r="D119" s="28" t="s">
        <v>335</v>
      </c>
      <c r="E119" s="28" t="s">
        <v>632</v>
      </c>
      <c r="F119" s="29">
        <f>F116-F118</f>
        <v>0</v>
      </c>
      <c r="G119" s="30" t="s">
        <v>633</v>
      </c>
    </row>
    <row r="120" spans="1:7" ht="15.75" thickBot="1" x14ac:dyDescent="0.3">
      <c r="A120" s="65">
        <v>9</v>
      </c>
      <c r="B120" s="65">
        <v>2</v>
      </c>
      <c r="C120" s="54"/>
      <c r="D120" s="51"/>
      <c r="E120" s="45" t="s">
        <v>634</v>
      </c>
      <c r="F120" s="46">
        <f>IFERROR(F118/F115,0)</f>
        <v>0</v>
      </c>
      <c r="G120" s="37" t="s">
        <v>434</v>
      </c>
    </row>
    <row r="121" spans="1:7" ht="15.75" thickBot="1" x14ac:dyDescent="0.3">
      <c r="A121" s="65">
        <v>9</v>
      </c>
      <c r="B121" s="65">
        <v>2</v>
      </c>
      <c r="C121" s="54"/>
      <c r="D121" s="51"/>
      <c r="E121" s="47" t="s">
        <v>635</v>
      </c>
      <c r="F121" s="44">
        <f>F120</f>
        <v>0</v>
      </c>
      <c r="G121" s="37"/>
    </row>
    <row r="123" spans="1:7" s="1" customFormat="1" ht="45" customHeight="1" x14ac:dyDescent="0.25">
      <c r="A123" s="65">
        <v>9</v>
      </c>
      <c r="B123" s="65">
        <v>2</v>
      </c>
      <c r="C123" s="54"/>
      <c r="D123" s="112"/>
      <c r="E123" s="152" t="s">
        <v>2080</v>
      </c>
      <c r="F123" s="147" t="s">
        <v>2053</v>
      </c>
      <c r="G123" s="159"/>
    </row>
    <row r="124" spans="1:7" s="1" customFormat="1" x14ac:dyDescent="0.25">
      <c r="A124" s="64"/>
      <c r="B124" s="64"/>
      <c r="C124" s="112"/>
      <c r="D124" s="112"/>
      <c r="E124" s="112"/>
      <c r="F124" s="56"/>
      <c r="G124" s="150"/>
    </row>
    <row r="125" spans="1:7" x14ac:dyDescent="0.25">
      <c r="A125" s="65">
        <v>9</v>
      </c>
      <c r="B125" s="65">
        <v>2</v>
      </c>
      <c r="C125" s="55">
        <v>3.1</v>
      </c>
      <c r="D125" s="215" t="s">
        <v>181</v>
      </c>
      <c r="E125" s="215"/>
      <c r="F125" s="27" t="s">
        <v>320</v>
      </c>
      <c r="G125" s="146" t="s">
        <v>321</v>
      </c>
    </row>
    <row r="126" spans="1:7" x14ac:dyDescent="0.25">
      <c r="A126" s="65">
        <v>9</v>
      </c>
      <c r="B126" s="65">
        <v>2</v>
      </c>
      <c r="D126" s="28" t="s">
        <v>322</v>
      </c>
      <c r="E126" s="28" t="s">
        <v>636</v>
      </c>
      <c r="F126" s="29">
        <f>F25</f>
        <v>0</v>
      </c>
      <c r="G126" s="30" t="s">
        <v>561</v>
      </c>
    </row>
    <row r="127" spans="1:7" x14ac:dyDescent="0.25">
      <c r="A127" s="65">
        <v>9</v>
      </c>
      <c r="B127" s="65">
        <v>2</v>
      </c>
      <c r="D127" s="28" t="s">
        <v>327</v>
      </c>
      <c r="E127" s="28" t="s">
        <v>637</v>
      </c>
      <c r="F127" s="31"/>
      <c r="G127" s="158" t="s">
        <v>638</v>
      </c>
    </row>
    <row r="128" spans="1:7" ht="15.75" thickBot="1" x14ac:dyDescent="0.3">
      <c r="A128" s="65">
        <v>9</v>
      </c>
      <c r="B128" s="65">
        <v>2</v>
      </c>
      <c r="D128" s="28" t="s">
        <v>330</v>
      </c>
      <c r="E128" s="28" t="s">
        <v>639</v>
      </c>
      <c r="F128" s="29">
        <f>F126-F127</f>
        <v>0</v>
      </c>
      <c r="G128" s="30" t="s">
        <v>640</v>
      </c>
    </row>
    <row r="129" spans="1:7" ht="15.75" thickBot="1" x14ac:dyDescent="0.3">
      <c r="A129" s="65">
        <v>9</v>
      </c>
      <c r="B129" s="65">
        <v>2</v>
      </c>
      <c r="C129" s="54"/>
      <c r="D129" s="51"/>
      <c r="E129" s="45" t="s">
        <v>641</v>
      </c>
      <c r="F129" s="46">
        <f>IFERROR(F127/F126,0)</f>
        <v>0</v>
      </c>
      <c r="G129" s="37" t="s">
        <v>378</v>
      </c>
    </row>
    <row r="130" spans="1:7" ht="15.75" thickBot="1" x14ac:dyDescent="0.3">
      <c r="A130" s="65">
        <v>9</v>
      </c>
      <c r="B130" s="65">
        <v>2</v>
      </c>
      <c r="C130" s="54"/>
      <c r="D130" s="51"/>
      <c r="E130" s="47" t="s">
        <v>642</v>
      </c>
      <c r="F130" s="44">
        <f>F129</f>
        <v>0</v>
      </c>
      <c r="G130" s="37"/>
    </row>
    <row r="132" spans="1:7" s="1" customFormat="1" ht="45" customHeight="1" x14ac:dyDescent="0.25">
      <c r="A132" s="65">
        <v>9</v>
      </c>
      <c r="B132" s="65">
        <v>2</v>
      </c>
      <c r="C132" s="54"/>
      <c r="D132" s="112"/>
      <c r="E132" s="152" t="s">
        <v>2080</v>
      </c>
      <c r="F132" s="147" t="s">
        <v>2053</v>
      </c>
      <c r="G132" s="159"/>
    </row>
    <row r="133" spans="1:7" s="1" customFormat="1" x14ac:dyDescent="0.25">
      <c r="A133" s="64"/>
      <c r="B133" s="64"/>
      <c r="C133" s="112"/>
      <c r="D133" s="112"/>
      <c r="E133" s="112"/>
      <c r="F133" s="56"/>
      <c r="G133" s="150"/>
    </row>
    <row r="134" spans="1:7" x14ac:dyDescent="0.25">
      <c r="A134" s="65">
        <v>9</v>
      </c>
      <c r="B134" s="65">
        <v>2</v>
      </c>
      <c r="C134" s="55">
        <v>3.11</v>
      </c>
      <c r="D134" s="215" t="s">
        <v>643</v>
      </c>
      <c r="E134" s="215"/>
      <c r="F134" s="27" t="s">
        <v>320</v>
      </c>
      <c r="G134" s="146" t="s">
        <v>321</v>
      </c>
    </row>
    <row r="135" spans="1:7" x14ac:dyDescent="0.25">
      <c r="A135" s="65">
        <v>9</v>
      </c>
      <c r="B135" s="65">
        <v>2</v>
      </c>
      <c r="D135" s="28" t="s">
        <v>322</v>
      </c>
      <c r="E135" s="28" t="s">
        <v>644</v>
      </c>
      <c r="F135" s="31"/>
      <c r="G135" s="158" t="s">
        <v>645</v>
      </c>
    </row>
    <row r="136" spans="1:7" x14ac:dyDescent="0.25">
      <c r="A136" s="65">
        <v>9</v>
      </c>
      <c r="B136" s="65">
        <v>2</v>
      </c>
      <c r="D136" s="28" t="s">
        <v>327</v>
      </c>
      <c r="E136" s="28" t="s">
        <v>646</v>
      </c>
      <c r="F136" s="31"/>
      <c r="G136" s="158" t="s">
        <v>647</v>
      </c>
    </row>
    <row r="137" spans="1:7" x14ac:dyDescent="0.25">
      <c r="A137" s="65">
        <v>9</v>
      </c>
      <c r="B137" s="65">
        <v>2</v>
      </c>
      <c r="D137" s="28" t="s">
        <v>330</v>
      </c>
      <c r="E137" s="28" t="s">
        <v>648</v>
      </c>
      <c r="F137" s="31"/>
      <c r="G137" s="158" t="s">
        <v>649</v>
      </c>
    </row>
    <row r="138" spans="1:7" ht="15.75" thickBot="1" x14ac:dyDescent="0.3">
      <c r="A138" s="65">
        <v>9</v>
      </c>
      <c r="B138" s="65">
        <v>2</v>
      </c>
      <c r="D138" s="28" t="s">
        <v>332</v>
      </c>
      <c r="E138" s="28" t="s">
        <v>650</v>
      </c>
      <c r="F138" s="29">
        <f>F136-F137</f>
        <v>0</v>
      </c>
      <c r="G138" s="30" t="s">
        <v>651</v>
      </c>
    </row>
    <row r="139" spans="1:7" ht="15.75" thickBot="1" x14ac:dyDescent="0.3">
      <c r="A139" s="65">
        <v>9</v>
      </c>
      <c r="B139" s="65">
        <v>2</v>
      </c>
      <c r="C139" s="54"/>
      <c r="D139" s="51"/>
      <c r="E139" s="45" t="s">
        <v>652</v>
      </c>
      <c r="F139" s="46">
        <f>IFERROR(F137/F136,0)</f>
        <v>0</v>
      </c>
      <c r="G139" s="37" t="s">
        <v>348</v>
      </c>
    </row>
    <row r="140" spans="1:7" ht="15.75" thickBot="1" x14ac:dyDescent="0.3">
      <c r="A140" s="65">
        <v>9</v>
      </c>
      <c r="B140" s="65">
        <v>2</v>
      </c>
      <c r="C140" s="54"/>
      <c r="D140" s="51"/>
      <c r="E140" s="47" t="s">
        <v>653</v>
      </c>
      <c r="F140" s="44">
        <f>F139</f>
        <v>0</v>
      </c>
      <c r="G140" s="37"/>
    </row>
    <row r="142" spans="1:7" s="1" customFormat="1" ht="45" customHeight="1" x14ac:dyDescent="0.25">
      <c r="A142" s="65">
        <v>9</v>
      </c>
      <c r="B142" s="65">
        <v>2</v>
      </c>
      <c r="C142" s="54"/>
      <c r="D142" s="112"/>
      <c r="E142" s="152" t="s">
        <v>2080</v>
      </c>
      <c r="F142" s="147" t="s">
        <v>2053</v>
      </c>
      <c r="G142" s="159"/>
    </row>
    <row r="143" spans="1:7" s="1" customFormat="1" x14ac:dyDescent="0.25">
      <c r="A143" s="64"/>
      <c r="B143" s="64"/>
      <c r="C143" s="112"/>
      <c r="D143" s="112"/>
      <c r="E143" s="112"/>
      <c r="F143" s="56"/>
      <c r="G143" s="150"/>
    </row>
    <row r="144" spans="1:7" x14ac:dyDescent="0.25">
      <c r="A144" s="65">
        <v>9</v>
      </c>
      <c r="B144" s="65">
        <v>2</v>
      </c>
      <c r="C144" s="52">
        <v>3.12</v>
      </c>
      <c r="D144" s="215" t="s">
        <v>187</v>
      </c>
      <c r="E144" s="215"/>
      <c r="F144" s="27" t="s">
        <v>320</v>
      </c>
      <c r="G144" s="146" t="s">
        <v>321</v>
      </c>
    </row>
    <row r="145" spans="1:7" x14ac:dyDescent="0.25">
      <c r="A145" s="65">
        <v>9</v>
      </c>
      <c r="B145" s="65">
        <v>2</v>
      </c>
      <c r="D145" s="28" t="s">
        <v>322</v>
      </c>
      <c r="E145" s="28" t="s">
        <v>654</v>
      </c>
      <c r="F145" s="31"/>
      <c r="G145" s="158" t="s">
        <v>655</v>
      </c>
    </row>
    <row r="146" spans="1:7" x14ac:dyDescent="0.25">
      <c r="A146" s="65">
        <v>9</v>
      </c>
      <c r="B146" s="65">
        <v>2</v>
      </c>
      <c r="D146" s="28" t="s">
        <v>327</v>
      </c>
      <c r="E146" s="28" t="s">
        <v>656</v>
      </c>
      <c r="F146" s="31"/>
      <c r="G146" s="158" t="s">
        <v>657</v>
      </c>
    </row>
    <row r="147" spans="1:7" ht="15.75" thickBot="1" x14ac:dyDescent="0.3">
      <c r="A147" s="65">
        <v>9</v>
      </c>
      <c r="B147" s="65">
        <v>2</v>
      </c>
      <c r="D147" s="28" t="s">
        <v>330</v>
      </c>
      <c r="E147" s="28" t="s">
        <v>658</v>
      </c>
      <c r="F147" s="29">
        <f>F145-F146</f>
        <v>0</v>
      </c>
      <c r="G147" s="30" t="s">
        <v>659</v>
      </c>
    </row>
    <row r="148" spans="1:7" ht="15.75" thickBot="1" x14ac:dyDescent="0.3">
      <c r="A148" s="65">
        <v>9</v>
      </c>
      <c r="B148" s="65">
        <v>2</v>
      </c>
      <c r="C148" s="54"/>
      <c r="D148" s="51"/>
      <c r="E148" s="45" t="s">
        <v>660</v>
      </c>
      <c r="F148" s="46">
        <f>IFERROR(F146/F145,0)</f>
        <v>0</v>
      </c>
      <c r="G148" s="37" t="s">
        <v>378</v>
      </c>
    </row>
    <row r="149" spans="1:7" ht="15.75" thickBot="1" x14ac:dyDescent="0.3">
      <c r="A149" s="65">
        <v>9</v>
      </c>
      <c r="B149" s="65">
        <v>2</v>
      </c>
      <c r="C149" s="54"/>
      <c r="D149" s="51"/>
      <c r="E149" s="47" t="s">
        <v>661</v>
      </c>
      <c r="F149" s="44">
        <f>F148</f>
        <v>0</v>
      </c>
      <c r="G149" s="37"/>
    </row>
    <row r="151" spans="1:7" s="1" customFormat="1" ht="45" customHeight="1" x14ac:dyDescent="0.25">
      <c r="A151" s="65">
        <v>9</v>
      </c>
      <c r="B151" s="65">
        <v>2</v>
      </c>
      <c r="C151" s="54"/>
      <c r="D151" s="112"/>
      <c r="E151" s="152" t="s">
        <v>2080</v>
      </c>
      <c r="F151" s="147" t="s">
        <v>2053</v>
      </c>
      <c r="G151" s="159"/>
    </row>
    <row r="152" spans="1:7" s="1" customFormat="1" x14ac:dyDescent="0.25">
      <c r="A152" s="64"/>
      <c r="B152" s="64"/>
      <c r="C152" s="112"/>
      <c r="D152" s="112"/>
      <c r="E152" s="112"/>
      <c r="F152" s="56"/>
      <c r="G152" s="150"/>
    </row>
    <row r="153" spans="1:7" x14ac:dyDescent="0.25">
      <c r="A153" s="65">
        <v>9</v>
      </c>
      <c r="B153" s="65">
        <v>3</v>
      </c>
      <c r="C153" s="52">
        <v>3.13</v>
      </c>
      <c r="D153" s="215" t="s">
        <v>188</v>
      </c>
      <c r="E153" s="215"/>
      <c r="F153" s="27" t="s">
        <v>320</v>
      </c>
      <c r="G153" s="146" t="s">
        <v>321</v>
      </c>
    </row>
    <row r="154" spans="1:7" x14ac:dyDescent="0.25">
      <c r="A154" s="65">
        <v>9</v>
      </c>
      <c r="B154" s="65">
        <v>3</v>
      </c>
      <c r="D154" s="28" t="s">
        <v>322</v>
      </c>
      <c r="E154" s="28" t="s">
        <v>662</v>
      </c>
      <c r="F154" s="31"/>
      <c r="G154" s="158" t="s">
        <v>663</v>
      </c>
    </row>
    <row r="155" spans="1:7" x14ac:dyDescent="0.25">
      <c r="A155" s="65">
        <v>9</v>
      </c>
      <c r="B155" s="65">
        <v>3</v>
      </c>
      <c r="D155" s="28" t="s">
        <v>327</v>
      </c>
      <c r="E155" s="28" t="s">
        <v>664</v>
      </c>
      <c r="F155" s="31"/>
      <c r="G155" s="158" t="s">
        <v>665</v>
      </c>
    </row>
    <row r="156" spans="1:7" x14ac:dyDescent="0.25">
      <c r="A156" s="65">
        <v>9</v>
      </c>
      <c r="B156" s="65">
        <v>3</v>
      </c>
      <c r="D156" s="28" t="s">
        <v>330</v>
      </c>
      <c r="E156" s="28" t="s">
        <v>666</v>
      </c>
      <c r="F156" s="29">
        <f>F154-F155</f>
        <v>0</v>
      </c>
      <c r="G156" s="30" t="s">
        <v>667</v>
      </c>
    </row>
    <row r="157" spans="1:7" x14ac:dyDescent="0.25">
      <c r="A157" s="65">
        <v>9</v>
      </c>
      <c r="B157" s="65">
        <v>3</v>
      </c>
      <c r="D157" s="28" t="s">
        <v>332</v>
      </c>
      <c r="E157" s="28" t="s">
        <v>668</v>
      </c>
      <c r="F157" s="31"/>
      <c r="G157" s="158" t="s">
        <v>669</v>
      </c>
    </row>
    <row r="158" spans="1:7" ht="15.75" thickBot="1" x14ac:dyDescent="0.3">
      <c r="A158" s="65">
        <v>9</v>
      </c>
      <c r="B158" s="65">
        <v>3</v>
      </c>
      <c r="D158" s="28" t="s">
        <v>335</v>
      </c>
      <c r="E158" s="28" t="s">
        <v>670</v>
      </c>
      <c r="F158" s="29">
        <f>F155-F157</f>
        <v>0</v>
      </c>
      <c r="G158" s="30" t="s">
        <v>671</v>
      </c>
    </row>
    <row r="159" spans="1:7" ht="30.75" thickBot="1" x14ac:dyDescent="0.3">
      <c r="A159" s="65">
        <v>9</v>
      </c>
      <c r="B159" s="65">
        <v>3</v>
      </c>
      <c r="C159" s="54"/>
      <c r="D159" s="51"/>
      <c r="E159" s="45" t="s">
        <v>672</v>
      </c>
      <c r="F159" s="46">
        <f>IFERROR(F157/F154,0)</f>
        <v>0</v>
      </c>
      <c r="G159" s="37" t="s">
        <v>434</v>
      </c>
    </row>
    <row r="160" spans="1:7" ht="15.75" thickBot="1" x14ac:dyDescent="0.3">
      <c r="A160" s="65">
        <v>9</v>
      </c>
      <c r="B160" s="65">
        <v>3</v>
      </c>
      <c r="C160" s="54"/>
      <c r="D160" s="51"/>
      <c r="E160" s="47" t="s">
        <v>673</v>
      </c>
      <c r="F160" s="44">
        <f>F159</f>
        <v>0</v>
      </c>
      <c r="G160" s="37"/>
    </row>
    <row r="162" spans="1:7" s="1" customFormat="1" ht="45" customHeight="1" x14ac:dyDescent="0.25">
      <c r="A162" s="65">
        <v>9</v>
      </c>
      <c r="B162" s="65">
        <v>3</v>
      </c>
      <c r="C162" s="54"/>
      <c r="D162" s="54"/>
      <c r="E162" s="152" t="s">
        <v>2080</v>
      </c>
      <c r="F162" s="147" t="s">
        <v>2053</v>
      </c>
      <c r="G162" s="159"/>
    </row>
    <row r="163" spans="1:7" s="1" customFormat="1" x14ac:dyDescent="0.25">
      <c r="A163" s="64"/>
      <c r="B163" s="64"/>
      <c r="C163" s="112"/>
      <c r="D163" s="112"/>
      <c r="E163" s="112"/>
      <c r="F163" s="56"/>
      <c r="G163" s="150"/>
    </row>
    <row r="164" spans="1:7" x14ac:dyDescent="0.25">
      <c r="A164" s="65">
        <v>9</v>
      </c>
      <c r="B164" s="65">
        <v>3</v>
      </c>
      <c r="C164" s="52">
        <v>3.14</v>
      </c>
      <c r="D164" s="215" t="s">
        <v>189</v>
      </c>
      <c r="E164" s="215"/>
      <c r="F164" s="27" t="s">
        <v>320</v>
      </c>
      <c r="G164" s="146" t="s">
        <v>321</v>
      </c>
    </row>
    <row r="165" spans="1:7" x14ac:dyDescent="0.25">
      <c r="A165" s="65">
        <v>9</v>
      </c>
      <c r="B165" s="65">
        <v>3</v>
      </c>
      <c r="D165" s="28" t="s">
        <v>322</v>
      </c>
      <c r="E165" s="28" t="s">
        <v>646</v>
      </c>
      <c r="F165" s="29">
        <f>F136</f>
        <v>0</v>
      </c>
      <c r="G165" s="30" t="s">
        <v>674</v>
      </c>
    </row>
    <row r="166" spans="1:7" x14ac:dyDescent="0.25">
      <c r="A166" s="65">
        <v>9</v>
      </c>
      <c r="B166" s="65">
        <v>3</v>
      </c>
      <c r="D166" s="28" t="s">
        <v>327</v>
      </c>
      <c r="E166" s="28" t="s">
        <v>675</v>
      </c>
      <c r="F166" s="31"/>
      <c r="G166" s="158" t="s">
        <v>676</v>
      </c>
    </row>
    <row r="167" spans="1:7" x14ac:dyDescent="0.25">
      <c r="A167" s="65">
        <v>9</v>
      </c>
      <c r="B167" s="65">
        <v>3</v>
      </c>
      <c r="D167" s="28" t="s">
        <v>330</v>
      </c>
      <c r="E167" s="28" t="s">
        <v>677</v>
      </c>
      <c r="F167" s="29">
        <f>F165-F166</f>
        <v>0</v>
      </c>
      <c r="G167" s="30" t="s">
        <v>678</v>
      </c>
    </row>
    <row r="168" spans="1:7" x14ac:dyDescent="0.25">
      <c r="A168" s="65">
        <v>9</v>
      </c>
      <c r="B168" s="65">
        <v>3</v>
      </c>
      <c r="D168" s="28" t="s">
        <v>332</v>
      </c>
      <c r="E168" s="28" t="s">
        <v>679</v>
      </c>
      <c r="F168" s="31"/>
      <c r="G168" s="158" t="s">
        <v>680</v>
      </c>
    </row>
    <row r="169" spans="1:7" ht="15.75" thickBot="1" x14ac:dyDescent="0.3">
      <c r="A169" s="65">
        <v>9</v>
      </c>
      <c r="B169" s="65">
        <v>3</v>
      </c>
      <c r="D169" s="28" t="s">
        <v>335</v>
      </c>
      <c r="E169" s="28" t="s">
        <v>681</v>
      </c>
      <c r="F169" s="29">
        <f>F166-F168</f>
        <v>0</v>
      </c>
      <c r="G169" s="30" t="s">
        <v>682</v>
      </c>
    </row>
    <row r="170" spans="1:7" ht="15.75" thickBot="1" x14ac:dyDescent="0.3">
      <c r="A170" s="65">
        <v>9</v>
      </c>
      <c r="B170" s="65">
        <v>3</v>
      </c>
      <c r="C170" s="54"/>
      <c r="D170" s="51"/>
      <c r="E170" s="45" t="s">
        <v>683</v>
      </c>
      <c r="F170" s="46">
        <f>IFERROR(F168/F165,0)</f>
        <v>0</v>
      </c>
      <c r="G170" s="37" t="s">
        <v>434</v>
      </c>
    </row>
    <row r="171" spans="1:7" ht="15.75" thickBot="1" x14ac:dyDescent="0.3">
      <c r="A171" s="65">
        <v>9</v>
      </c>
      <c r="B171" s="65">
        <v>3</v>
      </c>
      <c r="C171" s="54"/>
      <c r="D171" s="51"/>
      <c r="E171" s="47" t="s">
        <v>684</v>
      </c>
      <c r="F171" s="44">
        <f>F170</f>
        <v>0</v>
      </c>
      <c r="G171" s="37"/>
    </row>
    <row r="173" spans="1:7" s="1" customFormat="1" ht="45" customHeight="1" x14ac:dyDescent="0.25">
      <c r="A173" s="65">
        <v>9</v>
      </c>
      <c r="B173" s="65">
        <v>3</v>
      </c>
      <c r="C173" s="54"/>
      <c r="D173" s="112"/>
      <c r="E173" s="152" t="s">
        <v>2080</v>
      </c>
      <c r="F173" s="147" t="s">
        <v>2053</v>
      </c>
      <c r="G173" s="159"/>
    </row>
    <row r="174" spans="1:7" s="1" customFormat="1" x14ac:dyDescent="0.25">
      <c r="A174" s="64"/>
      <c r="B174" s="64"/>
      <c r="C174" s="112"/>
      <c r="D174" s="112"/>
      <c r="E174" s="112"/>
      <c r="F174" s="56"/>
      <c r="G174" s="150"/>
    </row>
  </sheetData>
  <sheetProtection algorithmName="SHA-512" hashValue="kxBK6U5jgMm/bAMiCUW8xqLPVsmXbjlyakSmFw2D93ekbBmoonTBzf/QHA8+NAB/0lJZVGsRcJi4REUIUO04fA==" saltValue="HedL2JBJkJwlqwIRg7q8xw==" spinCount="100000" sheet="1" formatRows="0" selectLockedCells="1"/>
  <mergeCells count="15">
    <mergeCell ref="C2:E2"/>
    <mergeCell ref="D4:E4"/>
    <mergeCell ref="D16:E16"/>
    <mergeCell ref="D32:E32"/>
    <mergeCell ref="D47:E47"/>
    <mergeCell ref="D62:E62"/>
    <mergeCell ref="D76:E76"/>
    <mergeCell ref="D88:E88"/>
    <mergeCell ref="D103:E103"/>
    <mergeCell ref="D164:E164"/>
    <mergeCell ref="D114:E114"/>
    <mergeCell ref="D125:E125"/>
    <mergeCell ref="D134:E134"/>
    <mergeCell ref="D144:E144"/>
    <mergeCell ref="D153:E153"/>
  </mergeCells>
  <phoneticPr fontId="4" type="noConversion"/>
  <conditionalFormatting sqref="E1:E1048576">
    <cfRule type="containsText" dxfId="51" priority="3" operator="containsText" text="Safeguard Scoring Complete">
      <formula>NOT(ISERROR(SEARCH("Safeguard Scoring Complete",E1)))</formula>
    </cfRule>
    <cfRule type="containsText" dxfId="50" priority="20" operator="containsText" text="Safeguard Scoring Incomplete">
      <formula>NOT(ISERROR(SEARCH("Safeguard Scoring Incomplete",E1)))</formula>
    </cfRule>
  </conditionalFormatting>
  <dataValidations count="3">
    <dataValidation type="list" allowBlank="1" showInputMessage="1" showErrorMessage="1" sqref="F5:F9 F104" xr:uid="{39239804-8BDD-4C4B-896E-C505BB301DF1}">
      <formula1>"0,1"</formula1>
    </dataValidation>
    <dataValidation type="list" allowBlank="1" showInputMessage="1" showErrorMessage="1" sqref="F2" xr:uid="{5A5EBFB9-14F8-49C0-9C35-405510FFF643}">
      <formula1>"Assessed,Not Assessed"</formula1>
    </dataValidation>
    <dataValidation type="list" allowBlank="1" showInputMessage="1" showErrorMessage="1" sqref="E14 E30 E45 E60 E74 E86 E101 E112 E123 E132 E142 E151 E162 E173" xr:uid="{1DB485AE-B92F-4F49-889A-F828949F42AA}">
      <formula1>"Safeguard Scoring Complete,Safeguard Scoring Incomplete"</formula1>
    </dataValidation>
  </dataValidations>
  <hyperlinks>
    <hyperlink ref="G2" r:id="rId1" xr:uid="{B10682AD-40DA-4387-9A9A-76E5DF4C03D0}"/>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ED136C94-42E0-425C-A5EC-B6400B0128A7}">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A93F5-9068-4D3B-B645-78906FDBBFF7}">
  <sheetPr codeName="Sheet7"/>
  <dimension ref="A2:G146"/>
  <sheetViews>
    <sheetView showGridLines="0" topLeftCell="A42" workbookViewId="0">
      <selection activeCell="F53" sqref="F53"/>
    </sheetView>
  </sheetViews>
  <sheetFormatPr defaultColWidth="9.140625" defaultRowHeight="15" x14ac:dyDescent="0.25"/>
  <cols>
    <col min="1" max="2" width="2.7109375" style="66" customWidth="1"/>
    <col min="3" max="3" width="5.7109375" style="54" customWidth="1"/>
    <col min="4" max="4" width="5.7109375" style="51" customWidth="1"/>
    <col min="5" max="5" width="90.7109375" style="25" customWidth="1"/>
    <col min="6" max="6" width="15.7109375" style="56" customWidth="1"/>
    <col min="7" max="7" width="120.7109375" style="25" customWidth="1"/>
    <col min="8" max="16384" width="9.140625" style="51"/>
  </cols>
  <sheetData>
    <row r="2" spans="1:7" ht="15.75" x14ac:dyDescent="0.25">
      <c r="C2" s="214" t="s">
        <v>685</v>
      </c>
      <c r="D2" s="214"/>
      <c r="E2" s="214"/>
      <c r="F2" s="100" t="s">
        <v>318</v>
      </c>
      <c r="G2" s="208" t="s">
        <v>2188</v>
      </c>
    </row>
    <row r="4" spans="1:7" x14ac:dyDescent="0.25">
      <c r="A4" s="66">
        <v>0</v>
      </c>
      <c r="B4" s="66">
        <v>1</v>
      </c>
      <c r="C4" s="52">
        <v>4.01</v>
      </c>
      <c r="D4" s="215" t="s">
        <v>190</v>
      </c>
      <c r="E4" s="215"/>
      <c r="F4" s="27" t="s">
        <v>320</v>
      </c>
      <c r="G4" s="146" t="s">
        <v>321</v>
      </c>
    </row>
    <row r="5" spans="1:7" x14ac:dyDescent="0.25">
      <c r="A5" s="66">
        <v>0</v>
      </c>
      <c r="B5" s="66">
        <v>1</v>
      </c>
      <c r="C5" s="53"/>
      <c r="D5" s="60" t="s">
        <v>322</v>
      </c>
      <c r="E5" s="62" t="s">
        <v>323</v>
      </c>
      <c r="F5" s="57">
        <f>IF(Artifacts!$E$3="Artifact Provided",1,0)</f>
        <v>0</v>
      </c>
      <c r="G5" s="76" t="s">
        <v>324</v>
      </c>
    </row>
    <row r="6" spans="1:7" x14ac:dyDescent="0.25">
      <c r="A6" s="66">
        <v>0</v>
      </c>
      <c r="B6" s="66">
        <v>1</v>
      </c>
      <c r="C6" s="53"/>
      <c r="D6" s="60" t="s">
        <v>327</v>
      </c>
      <c r="E6" s="62" t="s">
        <v>686</v>
      </c>
      <c r="F6" s="58"/>
      <c r="G6" s="78" t="s">
        <v>687</v>
      </c>
    </row>
    <row r="7" spans="1:7" ht="30" x14ac:dyDescent="0.25">
      <c r="A7" s="66">
        <v>0</v>
      </c>
      <c r="B7" s="66">
        <v>1</v>
      </c>
      <c r="C7" s="53"/>
      <c r="D7" s="60" t="s">
        <v>330</v>
      </c>
      <c r="E7" s="62" t="s">
        <v>688</v>
      </c>
      <c r="F7" s="58"/>
      <c r="G7" s="78" t="s">
        <v>689</v>
      </c>
    </row>
    <row r="8" spans="1:7" x14ac:dyDescent="0.25">
      <c r="A8" s="66">
        <v>0</v>
      </c>
      <c r="B8" s="66">
        <v>1</v>
      </c>
      <c r="C8" s="53"/>
      <c r="D8" s="60" t="s">
        <v>332</v>
      </c>
      <c r="E8" s="62" t="s">
        <v>690</v>
      </c>
      <c r="F8" s="58"/>
      <c r="G8" s="143" t="s">
        <v>691</v>
      </c>
    </row>
    <row r="9" spans="1:7" x14ac:dyDescent="0.25">
      <c r="A9" s="66">
        <v>0</v>
      </c>
      <c r="B9" s="66">
        <v>1</v>
      </c>
      <c r="C9" s="53"/>
      <c r="D9" s="60" t="s">
        <v>335</v>
      </c>
      <c r="E9" s="62" t="s">
        <v>692</v>
      </c>
      <c r="F9" s="57">
        <f>F7-F8</f>
        <v>0</v>
      </c>
      <c r="G9" s="76" t="s">
        <v>693</v>
      </c>
    </row>
    <row r="10" spans="1:7" ht="15.75" thickBot="1" x14ac:dyDescent="0.3">
      <c r="A10" s="66">
        <v>0</v>
      </c>
      <c r="B10" s="66">
        <v>1</v>
      </c>
      <c r="C10" s="53"/>
      <c r="D10" s="60" t="s">
        <v>338</v>
      </c>
      <c r="E10" s="63" t="s">
        <v>694</v>
      </c>
      <c r="F10" s="59">
        <f>DATEDIF(Artifacts!$F$4,GlobalSettings!$C$4,"m")</f>
        <v>1508</v>
      </c>
      <c r="G10" s="77" t="s">
        <v>695</v>
      </c>
    </row>
    <row r="11" spans="1:7" ht="30.75" thickBot="1" x14ac:dyDescent="0.3">
      <c r="A11" s="66">
        <v>0</v>
      </c>
      <c r="B11" s="66">
        <v>1</v>
      </c>
      <c r="E11" s="45" t="s">
        <v>696</v>
      </c>
      <c r="F11" s="46">
        <f>IFERROR(F8/F7,0)</f>
        <v>0</v>
      </c>
      <c r="G11" s="37" t="s">
        <v>380</v>
      </c>
    </row>
    <row r="12" spans="1:7" ht="15.75" thickBot="1" x14ac:dyDescent="0.3">
      <c r="A12" s="66">
        <v>0</v>
      </c>
      <c r="B12" s="66">
        <v>1</v>
      </c>
      <c r="E12" s="47" t="s">
        <v>697</v>
      </c>
      <c r="F12" s="44">
        <f>IF(F10&lt;=GlobalSettings!$C$8,F11,IF(GlobalSettings!$C$10="No",0,F11*(GlobalSettings!$C$6-0.01)))</f>
        <v>0</v>
      </c>
      <c r="G12" s="37" t="s">
        <v>698</v>
      </c>
    </row>
    <row r="14" spans="1:7" s="1" customFormat="1" ht="45" customHeight="1" x14ac:dyDescent="0.25">
      <c r="A14" s="66">
        <v>0</v>
      </c>
      <c r="B14" s="66">
        <v>1</v>
      </c>
      <c r="C14" s="112"/>
      <c r="D14" s="112"/>
      <c r="E14" s="152" t="s">
        <v>2080</v>
      </c>
      <c r="F14" s="147" t="s">
        <v>2053</v>
      </c>
      <c r="G14" s="159"/>
    </row>
    <row r="15" spans="1:7" s="1" customFormat="1" x14ac:dyDescent="0.25">
      <c r="A15" s="64"/>
      <c r="B15" s="64"/>
      <c r="C15" s="112"/>
      <c r="D15" s="112"/>
      <c r="E15" s="112"/>
      <c r="F15" s="56"/>
      <c r="G15" s="150"/>
    </row>
    <row r="16" spans="1:7" x14ac:dyDescent="0.25">
      <c r="A16" s="66">
        <v>9</v>
      </c>
      <c r="B16" s="66">
        <v>1</v>
      </c>
      <c r="C16" s="52">
        <v>4.0199999999999996</v>
      </c>
      <c r="D16" s="215" t="s">
        <v>191</v>
      </c>
      <c r="E16" s="215"/>
      <c r="F16" s="27" t="s">
        <v>320</v>
      </c>
      <c r="G16" s="146" t="s">
        <v>321</v>
      </c>
    </row>
    <row r="17" spans="1:7" x14ac:dyDescent="0.25">
      <c r="A17" s="66">
        <v>9</v>
      </c>
      <c r="B17" s="66">
        <v>1</v>
      </c>
      <c r="C17" s="53"/>
      <c r="D17" s="60" t="s">
        <v>322</v>
      </c>
      <c r="E17" s="62" t="s">
        <v>323</v>
      </c>
      <c r="F17" s="57">
        <f>IF(Artifacts!$E$3="Artifact Provided",1,0)</f>
        <v>0</v>
      </c>
      <c r="G17" s="76" t="s">
        <v>324</v>
      </c>
    </row>
    <row r="18" spans="1:7" x14ac:dyDescent="0.25">
      <c r="A18" s="66">
        <v>9</v>
      </c>
      <c r="B18" s="66">
        <v>1</v>
      </c>
      <c r="C18" s="53"/>
      <c r="D18" s="28" t="s">
        <v>327</v>
      </c>
      <c r="E18" s="62" t="s">
        <v>699</v>
      </c>
      <c r="F18" s="58"/>
      <c r="G18" s="78" t="s">
        <v>700</v>
      </c>
    </row>
    <row r="19" spans="1:7" x14ac:dyDescent="0.25">
      <c r="A19" s="66">
        <v>9</v>
      </c>
      <c r="B19" s="66">
        <v>1</v>
      </c>
      <c r="C19" s="53"/>
      <c r="D19" s="28" t="s">
        <v>330</v>
      </c>
      <c r="E19" s="28" t="s">
        <v>701</v>
      </c>
      <c r="F19" s="58"/>
      <c r="G19" s="78" t="s">
        <v>689</v>
      </c>
    </row>
    <row r="20" spans="1:7" x14ac:dyDescent="0.25">
      <c r="A20" s="66">
        <v>9</v>
      </c>
      <c r="B20" s="66">
        <v>1</v>
      </c>
      <c r="C20" s="53"/>
      <c r="D20" s="28" t="s">
        <v>332</v>
      </c>
      <c r="E20" s="28" t="s">
        <v>690</v>
      </c>
      <c r="F20" s="58"/>
      <c r="G20" s="143" t="s">
        <v>691</v>
      </c>
    </row>
    <row r="21" spans="1:7" x14ac:dyDescent="0.25">
      <c r="A21" s="66">
        <v>9</v>
      </c>
      <c r="B21" s="66">
        <v>1</v>
      </c>
      <c r="C21" s="53"/>
      <c r="D21" s="28" t="s">
        <v>335</v>
      </c>
      <c r="E21" s="28" t="s">
        <v>692</v>
      </c>
      <c r="F21" s="57">
        <f>F19-F20</f>
        <v>0</v>
      </c>
      <c r="G21" s="76" t="s">
        <v>693</v>
      </c>
    </row>
    <row r="22" spans="1:7" ht="15.75" thickBot="1" x14ac:dyDescent="0.3">
      <c r="A22" s="66">
        <v>9</v>
      </c>
      <c r="B22" s="66">
        <v>1</v>
      </c>
      <c r="C22" s="53"/>
      <c r="D22" s="28" t="s">
        <v>338</v>
      </c>
      <c r="E22" s="63" t="s">
        <v>694</v>
      </c>
      <c r="F22" s="59">
        <f>DATEDIF(Artifacts!$F$4,GlobalSettings!$C$4,"m")</f>
        <v>1508</v>
      </c>
      <c r="G22" s="77" t="s">
        <v>702</v>
      </c>
    </row>
    <row r="23" spans="1:7" ht="30.75" thickBot="1" x14ac:dyDescent="0.3">
      <c r="A23" s="66">
        <v>9</v>
      </c>
      <c r="B23" s="66">
        <v>1</v>
      </c>
      <c r="E23" s="45" t="s">
        <v>696</v>
      </c>
      <c r="F23" s="46">
        <f>IFERROR(F20/F19,0)</f>
        <v>0</v>
      </c>
      <c r="G23" s="37" t="s">
        <v>380</v>
      </c>
    </row>
    <row r="24" spans="1:7" ht="15.75" thickBot="1" x14ac:dyDescent="0.3">
      <c r="A24" s="66">
        <v>9</v>
      </c>
      <c r="B24" s="66">
        <v>1</v>
      </c>
      <c r="E24" s="47" t="s">
        <v>703</v>
      </c>
      <c r="F24" s="44">
        <f>IF(F22&lt;=GlobalSettings!$C$8,F23,IF(GlobalSettings!$C$10="No",0,F23*(GlobalSettings!$C$6-0.01)))</f>
        <v>0</v>
      </c>
      <c r="G24" s="37" t="s">
        <v>698</v>
      </c>
    </row>
    <row r="26" spans="1:7" s="1" customFormat="1" ht="45" customHeight="1" x14ac:dyDescent="0.25">
      <c r="A26" s="66">
        <v>9</v>
      </c>
      <c r="B26" s="66">
        <v>1</v>
      </c>
      <c r="C26" s="112"/>
      <c r="D26" s="112"/>
      <c r="E26" s="152" t="s">
        <v>2080</v>
      </c>
      <c r="F26" s="147" t="s">
        <v>2053</v>
      </c>
      <c r="G26" s="159"/>
    </row>
    <row r="27" spans="1:7" s="1" customFormat="1" x14ac:dyDescent="0.25">
      <c r="A27" s="64"/>
      <c r="B27" s="64"/>
      <c r="C27" s="112"/>
      <c r="D27" s="112"/>
      <c r="E27" s="112"/>
      <c r="F27" s="56"/>
      <c r="G27" s="150"/>
    </row>
    <row r="28" spans="1:7" x14ac:dyDescent="0.25">
      <c r="A28" s="66">
        <v>0</v>
      </c>
      <c r="B28" s="66">
        <v>1</v>
      </c>
      <c r="C28" s="52">
        <v>4.03</v>
      </c>
      <c r="D28" s="215" t="s">
        <v>192</v>
      </c>
      <c r="E28" s="215"/>
      <c r="F28" s="27" t="s">
        <v>320</v>
      </c>
      <c r="G28" s="146" t="s">
        <v>321</v>
      </c>
    </row>
    <row r="29" spans="1:7" x14ac:dyDescent="0.25">
      <c r="A29" s="66">
        <v>0</v>
      </c>
      <c r="B29" s="66">
        <v>1</v>
      </c>
      <c r="C29" s="53"/>
      <c r="D29" s="28" t="s">
        <v>322</v>
      </c>
      <c r="E29" s="28" t="s">
        <v>704</v>
      </c>
      <c r="F29" s="58"/>
      <c r="G29" s="78" t="s">
        <v>705</v>
      </c>
    </row>
    <row r="30" spans="1:7" x14ac:dyDescent="0.25">
      <c r="A30" s="66">
        <v>0</v>
      </c>
      <c r="B30" s="66">
        <v>1</v>
      </c>
      <c r="C30" s="53"/>
      <c r="D30" s="28" t="s">
        <v>327</v>
      </c>
      <c r="E30" s="28" t="s">
        <v>706</v>
      </c>
      <c r="F30" s="58"/>
      <c r="G30" s="78" t="s">
        <v>707</v>
      </c>
    </row>
    <row r="31" spans="1:7" x14ac:dyDescent="0.25">
      <c r="A31" s="66">
        <v>0</v>
      </c>
      <c r="B31" s="66">
        <v>1</v>
      </c>
      <c r="C31" s="53"/>
      <c r="D31" s="28" t="s">
        <v>330</v>
      </c>
      <c r="E31" s="28" t="s">
        <v>708</v>
      </c>
      <c r="F31" s="58"/>
      <c r="G31" s="78" t="s">
        <v>709</v>
      </c>
    </row>
    <row r="32" spans="1:7" x14ac:dyDescent="0.25">
      <c r="A32" s="66">
        <v>0</v>
      </c>
      <c r="B32" s="66">
        <v>1</v>
      </c>
      <c r="C32" s="53"/>
      <c r="D32" s="28" t="s">
        <v>332</v>
      </c>
      <c r="E32" s="28" t="s">
        <v>710</v>
      </c>
      <c r="F32" s="58"/>
      <c r="G32" s="78" t="s">
        <v>711</v>
      </c>
    </row>
    <row r="33" spans="1:7" x14ac:dyDescent="0.25">
      <c r="A33" s="66">
        <v>0</v>
      </c>
      <c r="B33" s="66">
        <v>1</v>
      </c>
      <c r="C33" s="53"/>
      <c r="D33" s="28" t="s">
        <v>335</v>
      </c>
      <c r="E33" s="28" t="s">
        <v>712</v>
      </c>
      <c r="F33" s="58"/>
      <c r="G33" s="78" t="s">
        <v>713</v>
      </c>
    </row>
    <row r="34" spans="1:7" ht="15.75" thickBot="1" x14ac:dyDescent="0.3">
      <c r="A34" s="66">
        <v>0</v>
      </c>
      <c r="B34" s="66">
        <v>1</v>
      </c>
      <c r="C34" s="53"/>
      <c r="D34" s="28" t="s">
        <v>338</v>
      </c>
      <c r="E34" s="28" t="s">
        <v>714</v>
      </c>
      <c r="F34" s="58"/>
      <c r="G34" s="78" t="s">
        <v>715</v>
      </c>
    </row>
    <row r="35" spans="1:7" ht="15.75" thickBot="1" x14ac:dyDescent="0.3">
      <c r="A35" s="66">
        <v>0</v>
      </c>
      <c r="B35" s="66">
        <v>1</v>
      </c>
      <c r="E35" s="45" t="s">
        <v>716</v>
      </c>
      <c r="F35" s="46">
        <f>IFERROR((F31+F33)/F29,0)</f>
        <v>0</v>
      </c>
      <c r="G35" s="37" t="s">
        <v>717</v>
      </c>
    </row>
    <row r="36" spans="1:7" ht="15.75" thickBot="1" x14ac:dyDescent="0.3">
      <c r="A36" s="66">
        <v>0</v>
      </c>
      <c r="B36" s="66">
        <v>1</v>
      </c>
      <c r="E36" s="47" t="s">
        <v>718</v>
      </c>
      <c r="F36" s="44">
        <f>F35</f>
        <v>0</v>
      </c>
      <c r="G36" s="37"/>
    </row>
    <row r="38" spans="1:7" s="1" customFormat="1" ht="45" customHeight="1" x14ac:dyDescent="0.25">
      <c r="A38" s="66">
        <v>0</v>
      </c>
      <c r="B38" s="66">
        <v>1</v>
      </c>
      <c r="C38" s="112"/>
      <c r="D38" s="112"/>
      <c r="E38" s="152" t="s">
        <v>2080</v>
      </c>
      <c r="F38" s="147" t="s">
        <v>2053</v>
      </c>
      <c r="G38" s="159"/>
    </row>
    <row r="39" spans="1:7" s="1" customFormat="1" x14ac:dyDescent="0.25">
      <c r="A39" s="64"/>
      <c r="B39" s="64"/>
      <c r="C39" s="112"/>
      <c r="D39" s="112"/>
      <c r="E39" s="112"/>
      <c r="F39" s="56"/>
      <c r="G39" s="150"/>
    </row>
    <row r="40" spans="1:7" x14ac:dyDescent="0.25">
      <c r="A40" s="66">
        <v>0</v>
      </c>
      <c r="B40" s="66">
        <v>1</v>
      </c>
      <c r="C40" s="52">
        <v>4.04</v>
      </c>
      <c r="D40" s="215" t="s">
        <v>193</v>
      </c>
      <c r="E40" s="215"/>
      <c r="F40" s="27" t="s">
        <v>320</v>
      </c>
      <c r="G40" s="146" t="s">
        <v>321</v>
      </c>
    </row>
    <row r="41" spans="1:7" x14ac:dyDescent="0.25">
      <c r="A41" s="66">
        <v>0</v>
      </c>
      <c r="B41" s="66">
        <v>1</v>
      </c>
      <c r="C41" s="53"/>
      <c r="D41" s="28" t="s">
        <v>322</v>
      </c>
      <c r="E41" s="28" t="s">
        <v>719</v>
      </c>
      <c r="F41" s="58"/>
      <c r="G41" s="78" t="s">
        <v>720</v>
      </c>
    </row>
    <row r="42" spans="1:7" x14ac:dyDescent="0.25">
      <c r="A42" s="66">
        <v>0</v>
      </c>
      <c r="B42" s="66">
        <v>1</v>
      </c>
      <c r="C42" s="53"/>
      <c r="D42" s="28" t="s">
        <v>327</v>
      </c>
      <c r="E42" s="28" t="s">
        <v>721</v>
      </c>
      <c r="F42" s="58"/>
      <c r="G42" s="78" t="s">
        <v>722</v>
      </c>
    </row>
    <row r="43" spans="1:7" x14ac:dyDescent="0.25">
      <c r="A43" s="66">
        <v>0</v>
      </c>
      <c r="B43" s="66">
        <v>1</v>
      </c>
      <c r="C43" s="53"/>
      <c r="D43" s="28" t="s">
        <v>330</v>
      </c>
      <c r="E43" s="28" t="s">
        <v>723</v>
      </c>
      <c r="F43" s="58"/>
      <c r="G43" s="78" t="s">
        <v>724</v>
      </c>
    </row>
    <row r="44" spans="1:7" x14ac:dyDescent="0.25">
      <c r="A44" s="66">
        <v>0</v>
      </c>
      <c r="B44" s="66">
        <v>1</v>
      </c>
      <c r="C44" s="53"/>
      <c r="D44" s="28" t="s">
        <v>332</v>
      </c>
      <c r="E44" s="28" t="s">
        <v>725</v>
      </c>
      <c r="F44" s="29">
        <f>F41-F43</f>
        <v>0</v>
      </c>
      <c r="G44" s="76" t="s">
        <v>726</v>
      </c>
    </row>
    <row r="45" spans="1:7" x14ac:dyDescent="0.25">
      <c r="A45" s="66">
        <v>0</v>
      </c>
      <c r="B45" s="66">
        <v>1</v>
      </c>
      <c r="C45" s="53"/>
      <c r="D45" s="28" t="s">
        <v>335</v>
      </c>
      <c r="E45" s="28" t="s">
        <v>727</v>
      </c>
      <c r="F45" s="58"/>
      <c r="G45" s="78" t="s">
        <v>728</v>
      </c>
    </row>
    <row r="46" spans="1:7" ht="15.75" thickBot="1" x14ac:dyDescent="0.3">
      <c r="A46" s="66">
        <v>0</v>
      </c>
      <c r="B46" s="66">
        <v>1</v>
      </c>
      <c r="C46" s="53"/>
      <c r="D46" s="28" t="s">
        <v>338</v>
      </c>
      <c r="E46" s="28" t="s">
        <v>729</v>
      </c>
      <c r="F46" s="29">
        <f>F42-F45</f>
        <v>0</v>
      </c>
      <c r="G46" s="76" t="s">
        <v>730</v>
      </c>
    </row>
    <row r="47" spans="1:7" ht="15.75" thickBot="1" x14ac:dyDescent="0.3">
      <c r="A47" s="66">
        <v>0</v>
      </c>
      <c r="B47" s="66">
        <v>1</v>
      </c>
      <c r="E47" s="45" t="s">
        <v>731</v>
      </c>
      <c r="F47" s="46">
        <f>IFERROR((F43+F45)/(F41+F42),0)</f>
        <v>0</v>
      </c>
      <c r="G47" s="37" t="s">
        <v>732</v>
      </c>
    </row>
    <row r="48" spans="1:7" ht="15.75" thickBot="1" x14ac:dyDescent="0.3">
      <c r="A48" s="66">
        <v>0</v>
      </c>
      <c r="B48" s="66">
        <v>1</v>
      </c>
      <c r="E48" s="47" t="s">
        <v>733</v>
      </c>
      <c r="F48" s="44">
        <f>F47</f>
        <v>0</v>
      </c>
      <c r="G48" s="37"/>
    </row>
    <row r="50" spans="1:7" s="1" customFormat="1" ht="45" customHeight="1" x14ac:dyDescent="0.25">
      <c r="A50" s="66">
        <v>0</v>
      </c>
      <c r="B50" s="66">
        <v>1</v>
      </c>
      <c r="C50" s="112"/>
      <c r="D50" s="112"/>
      <c r="E50" s="152" t="s">
        <v>2080</v>
      </c>
      <c r="F50" s="147" t="s">
        <v>2053</v>
      </c>
      <c r="G50" s="159"/>
    </row>
    <row r="51" spans="1:7" s="1" customFormat="1" x14ac:dyDescent="0.25">
      <c r="A51" s="64"/>
      <c r="B51" s="64"/>
      <c r="C51" s="112"/>
      <c r="D51" s="112"/>
      <c r="E51" s="112"/>
      <c r="F51" s="56"/>
      <c r="G51" s="150"/>
    </row>
    <row r="52" spans="1:7" x14ac:dyDescent="0.25">
      <c r="A52" s="66">
        <v>0</v>
      </c>
      <c r="B52" s="66">
        <v>1</v>
      </c>
      <c r="C52" s="52">
        <v>4.05</v>
      </c>
      <c r="D52" s="215" t="s">
        <v>194</v>
      </c>
      <c r="E52" s="215"/>
      <c r="F52" s="27" t="s">
        <v>320</v>
      </c>
      <c r="G52" s="146" t="s">
        <v>321</v>
      </c>
    </row>
    <row r="53" spans="1:7" x14ac:dyDescent="0.25">
      <c r="A53" s="66">
        <v>0</v>
      </c>
      <c r="B53" s="66">
        <v>1</v>
      </c>
      <c r="C53" s="53"/>
      <c r="D53" s="28" t="s">
        <v>322</v>
      </c>
      <c r="E53" s="28" t="s">
        <v>734</v>
      </c>
      <c r="F53" s="58"/>
      <c r="G53" s="78" t="s">
        <v>735</v>
      </c>
    </row>
    <row r="54" spans="1:7" x14ac:dyDescent="0.25">
      <c r="A54" s="66">
        <v>0</v>
      </c>
      <c r="B54" s="66">
        <v>1</v>
      </c>
      <c r="C54" s="53"/>
      <c r="D54" s="28" t="s">
        <v>327</v>
      </c>
      <c r="E54" s="28" t="s">
        <v>736</v>
      </c>
      <c r="F54" s="58"/>
      <c r="G54" s="78" t="s">
        <v>737</v>
      </c>
    </row>
    <row r="55" spans="1:7" ht="30" x14ac:dyDescent="0.25">
      <c r="A55" s="66">
        <v>0</v>
      </c>
      <c r="B55" s="66">
        <v>1</v>
      </c>
      <c r="C55" s="53"/>
      <c r="D55" s="28" t="s">
        <v>400</v>
      </c>
      <c r="E55" s="126" t="s">
        <v>738</v>
      </c>
      <c r="F55" s="31"/>
      <c r="G55" s="77" t="s">
        <v>2167</v>
      </c>
    </row>
    <row r="56" spans="1:7" x14ac:dyDescent="0.25">
      <c r="A56" s="66">
        <v>0</v>
      </c>
      <c r="B56" s="66">
        <v>1</v>
      </c>
      <c r="C56" s="53"/>
      <c r="D56" s="28" t="s">
        <v>403</v>
      </c>
      <c r="E56" s="126" t="s">
        <v>739</v>
      </c>
      <c r="F56" s="31"/>
      <c r="G56" s="77" t="s">
        <v>740</v>
      </c>
    </row>
    <row r="57" spans="1:7" ht="30" x14ac:dyDescent="0.25">
      <c r="A57" s="66">
        <v>0</v>
      </c>
      <c r="B57" s="66">
        <v>1</v>
      </c>
      <c r="C57" s="53"/>
      <c r="D57" s="28" t="s">
        <v>405</v>
      </c>
      <c r="E57" s="126" t="s">
        <v>741</v>
      </c>
      <c r="F57" s="31"/>
      <c r="G57" s="77" t="s">
        <v>2166</v>
      </c>
    </row>
    <row r="58" spans="1:7" x14ac:dyDescent="0.25">
      <c r="A58" s="66">
        <v>0</v>
      </c>
      <c r="B58" s="66">
        <v>1</v>
      </c>
      <c r="C58" s="53"/>
      <c r="D58" s="28" t="s">
        <v>407</v>
      </c>
      <c r="E58" s="126" t="s">
        <v>742</v>
      </c>
      <c r="F58" s="31"/>
      <c r="G58" s="77" t="s">
        <v>743</v>
      </c>
    </row>
    <row r="59" spans="1:7" ht="30" x14ac:dyDescent="0.25">
      <c r="A59" s="66">
        <v>0</v>
      </c>
      <c r="B59" s="66">
        <v>1</v>
      </c>
      <c r="C59" s="53"/>
      <c r="D59" s="28" t="s">
        <v>409</v>
      </c>
      <c r="E59" s="126" t="s">
        <v>744</v>
      </c>
      <c r="F59" s="31"/>
      <c r="G59" s="77" t="s">
        <v>2165</v>
      </c>
    </row>
    <row r="60" spans="1:7" x14ac:dyDescent="0.25">
      <c r="A60" s="66">
        <v>0</v>
      </c>
      <c r="B60" s="66">
        <v>1</v>
      </c>
      <c r="C60" s="53"/>
      <c r="D60" s="28" t="s">
        <v>411</v>
      </c>
      <c r="E60" s="126" t="s">
        <v>745</v>
      </c>
      <c r="F60" s="31"/>
      <c r="G60" s="77" t="s">
        <v>746</v>
      </c>
    </row>
    <row r="61" spans="1:7" x14ac:dyDescent="0.25">
      <c r="A61" s="66">
        <v>0</v>
      </c>
      <c r="B61" s="66">
        <v>1</v>
      </c>
      <c r="C61" s="53"/>
      <c r="D61" s="28" t="s">
        <v>747</v>
      </c>
      <c r="E61" s="126" t="s">
        <v>748</v>
      </c>
      <c r="F61" s="31"/>
      <c r="G61" s="77" t="s">
        <v>749</v>
      </c>
    </row>
    <row r="62" spans="1:7" x14ac:dyDescent="0.25">
      <c r="A62" s="66">
        <v>0</v>
      </c>
      <c r="B62" s="66">
        <v>1</v>
      </c>
      <c r="C62" s="53"/>
      <c r="D62" s="28" t="s">
        <v>750</v>
      </c>
      <c r="E62" s="126" t="s">
        <v>751</v>
      </c>
      <c r="F62" s="31"/>
      <c r="G62" s="77" t="s">
        <v>752</v>
      </c>
    </row>
    <row r="63" spans="1:7" ht="30.75" thickBot="1" x14ac:dyDescent="0.3">
      <c r="A63" s="66">
        <v>0</v>
      </c>
      <c r="B63" s="66">
        <v>1</v>
      </c>
      <c r="C63" s="53"/>
      <c r="D63" s="28" t="s">
        <v>330</v>
      </c>
      <c r="E63" s="28" t="s">
        <v>753</v>
      </c>
      <c r="F63" s="61">
        <f>F53-F54</f>
        <v>0</v>
      </c>
      <c r="G63" s="76" t="s">
        <v>754</v>
      </c>
    </row>
    <row r="64" spans="1:7" ht="15.75" thickBot="1" x14ac:dyDescent="0.3">
      <c r="A64" s="66">
        <v>0</v>
      </c>
      <c r="B64" s="66">
        <v>1</v>
      </c>
      <c r="E64" s="45" t="s">
        <v>755</v>
      </c>
      <c r="F64" s="46">
        <f>IFERROR((F54/F53)*SUM(F55:F62)/8,0)</f>
        <v>0</v>
      </c>
      <c r="G64" s="37" t="s">
        <v>2164</v>
      </c>
    </row>
    <row r="65" spans="1:7" ht="15.75" thickBot="1" x14ac:dyDescent="0.3">
      <c r="A65" s="66">
        <v>0</v>
      </c>
      <c r="B65" s="66">
        <v>1</v>
      </c>
      <c r="E65" s="47" t="s">
        <v>756</v>
      </c>
      <c r="F65" s="44">
        <f>F64</f>
        <v>0</v>
      </c>
      <c r="G65" s="37"/>
    </row>
    <row r="67" spans="1:7" s="1" customFormat="1" ht="45" customHeight="1" x14ac:dyDescent="0.25">
      <c r="A67" s="66">
        <v>0</v>
      </c>
      <c r="B67" s="66">
        <v>1</v>
      </c>
      <c r="C67" s="112"/>
      <c r="D67" s="112"/>
      <c r="E67" s="152" t="s">
        <v>2080</v>
      </c>
      <c r="F67" s="147" t="s">
        <v>2053</v>
      </c>
      <c r="G67" s="159"/>
    </row>
    <row r="68" spans="1:7" s="1" customFormat="1" x14ac:dyDescent="0.25">
      <c r="A68" s="64"/>
      <c r="B68" s="64"/>
      <c r="C68" s="112"/>
      <c r="D68" s="112"/>
      <c r="E68" s="112"/>
      <c r="F68" s="56"/>
      <c r="G68" s="150"/>
    </row>
    <row r="69" spans="1:7" x14ac:dyDescent="0.25">
      <c r="A69" s="66">
        <v>9</v>
      </c>
      <c r="B69" s="66">
        <v>1</v>
      </c>
      <c r="C69" s="52">
        <v>4.0599999999999996</v>
      </c>
      <c r="D69" s="215" t="s">
        <v>195</v>
      </c>
      <c r="E69" s="215"/>
      <c r="F69" s="27" t="s">
        <v>320</v>
      </c>
      <c r="G69" s="146" t="s">
        <v>321</v>
      </c>
    </row>
    <row r="70" spans="1:7" x14ac:dyDescent="0.25">
      <c r="A70" s="66">
        <v>9</v>
      </c>
      <c r="B70" s="66">
        <v>1</v>
      </c>
      <c r="C70" s="53"/>
      <c r="D70" s="28" t="s">
        <v>322</v>
      </c>
      <c r="E70" s="28" t="s">
        <v>757</v>
      </c>
      <c r="F70" s="58"/>
      <c r="G70" s="78" t="s">
        <v>758</v>
      </c>
    </row>
    <row r="71" spans="1:7" x14ac:dyDescent="0.25">
      <c r="A71" s="66">
        <v>9</v>
      </c>
      <c r="B71" s="66">
        <v>1</v>
      </c>
      <c r="C71" s="53"/>
      <c r="D71" s="28" t="s">
        <v>327</v>
      </c>
      <c r="E71" s="28" t="s">
        <v>759</v>
      </c>
      <c r="F71" s="58"/>
      <c r="G71" s="78" t="s">
        <v>760</v>
      </c>
    </row>
    <row r="72" spans="1:7" x14ac:dyDescent="0.25">
      <c r="A72" s="66">
        <v>9</v>
      </c>
      <c r="B72" s="66">
        <v>1</v>
      </c>
      <c r="C72" s="53"/>
      <c r="D72" s="28" t="s">
        <v>330</v>
      </c>
      <c r="E72" s="28" t="s">
        <v>761</v>
      </c>
      <c r="F72" s="58"/>
      <c r="G72" s="78" t="s">
        <v>762</v>
      </c>
    </row>
    <row r="73" spans="1:7" x14ac:dyDescent="0.25">
      <c r="A73" s="66">
        <v>9</v>
      </c>
      <c r="B73" s="66">
        <v>1</v>
      </c>
      <c r="C73" s="53"/>
      <c r="D73" s="28" t="s">
        <v>332</v>
      </c>
      <c r="E73" s="28" t="s">
        <v>763</v>
      </c>
      <c r="F73" s="58"/>
      <c r="G73" s="78" t="s">
        <v>764</v>
      </c>
    </row>
    <row r="74" spans="1:7" ht="15.75" thickBot="1" x14ac:dyDescent="0.3">
      <c r="A74" s="66">
        <v>9</v>
      </c>
      <c r="B74" s="66">
        <v>1</v>
      </c>
      <c r="C74" s="53"/>
      <c r="D74" s="28" t="s">
        <v>335</v>
      </c>
      <c r="E74" s="28" t="s">
        <v>765</v>
      </c>
      <c r="F74" s="29">
        <f>F71-F73</f>
        <v>0</v>
      </c>
      <c r="G74" s="76" t="s">
        <v>766</v>
      </c>
    </row>
    <row r="75" spans="1:7" ht="15.75" thickBot="1" x14ac:dyDescent="0.3">
      <c r="A75" s="66">
        <v>9</v>
      </c>
      <c r="B75" s="66">
        <v>1</v>
      </c>
      <c r="E75" s="45" t="s">
        <v>767</v>
      </c>
      <c r="F75" s="46">
        <f>IFERROR(F73/F71,0)</f>
        <v>0</v>
      </c>
      <c r="G75" s="37" t="s">
        <v>357</v>
      </c>
    </row>
    <row r="76" spans="1:7" ht="15.75" thickBot="1" x14ac:dyDescent="0.3">
      <c r="A76" s="66">
        <v>9</v>
      </c>
      <c r="B76" s="66">
        <v>1</v>
      </c>
      <c r="E76" s="47" t="s">
        <v>768</v>
      </c>
      <c r="F76" s="44">
        <f>F75</f>
        <v>0</v>
      </c>
      <c r="G76" s="37"/>
    </row>
    <row r="78" spans="1:7" s="1" customFormat="1" ht="45" customHeight="1" x14ac:dyDescent="0.25">
      <c r="A78" s="66">
        <v>9</v>
      </c>
      <c r="B78" s="66">
        <v>1</v>
      </c>
      <c r="C78" s="112"/>
      <c r="D78" s="112"/>
      <c r="E78" s="152" t="s">
        <v>2080</v>
      </c>
      <c r="F78" s="147" t="s">
        <v>2053</v>
      </c>
      <c r="G78" s="159"/>
    </row>
    <row r="79" spans="1:7" s="1" customFormat="1" x14ac:dyDescent="0.25">
      <c r="A79" s="64"/>
      <c r="B79" s="64"/>
      <c r="C79" s="112"/>
      <c r="D79" s="112"/>
      <c r="E79" s="112"/>
      <c r="F79" s="56"/>
      <c r="G79" s="150"/>
    </row>
    <row r="80" spans="1:7" x14ac:dyDescent="0.25">
      <c r="A80" s="66">
        <v>0</v>
      </c>
      <c r="B80" s="66">
        <v>1</v>
      </c>
      <c r="C80" s="52">
        <v>4.07</v>
      </c>
      <c r="D80" s="215" t="s">
        <v>196</v>
      </c>
      <c r="E80" s="215"/>
      <c r="F80" s="27" t="s">
        <v>320</v>
      </c>
      <c r="G80" s="146" t="s">
        <v>321</v>
      </c>
    </row>
    <row r="81" spans="1:7" ht="30" x14ac:dyDescent="0.25">
      <c r="A81" s="66">
        <v>0</v>
      </c>
      <c r="B81" s="66">
        <v>1</v>
      </c>
      <c r="C81" s="53"/>
      <c r="D81" s="28" t="s">
        <v>322</v>
      </c>
      <c r="E81" s="28" t="s">
        <v>769</v>
      </c>
      <c r="F81" s="58"/>
      <c r="G81" s="78" t="s">
        <v>770</v>
      </c>
    </row>
    <row r="82" spans="1:7" x14ac:dyDescent="0.25">
      <c r="A82" s="66">
        <v>0</v>
      </c>
      <c r="B82" s="66">
        <v>1</v>
      </c>
      <c r="C82" s="53"/>
      <c r="D82" s="28" t="s">
        <v>327</v>
      </c>
      <c r="E82" s="28" t="s">
        <v>771</v>
      </c>
      <c r="F82" s="58"/>
      <c r="G82" s="78" t="s">
        <v>772</v>
      </c>
    </row>
    <row r="83" spans="1:7" x14ac:dyDescent="0.25">
      <c r="A83" s="66">
        <v>0</v>
      </c>
      <c r="B83" s="66">
        <v>1</v>
      </c>
      <c r="C83" s="53"/>
      <c r="D83" s="28" t="s">
        <v>330</v>
      </c>
      <c r="E83" s="28" t="s">
        <v>773</v>
      </c>
      <c r="F83" s="58"/>
      <c r="G83" s="78" t="s">
        <v>774</v>
      </c>
    </row>
    <row r="84" spans="1:7" x14ac:dyDescent="0.25">
      <c r="A84" s="66">
        <v>0</v>
      </c>
      <c r="B84" s="66">
        <v>1</v>
      </c>
      <c r="C84" s="53"/>
      <c r="D84" s="28" t="s">
        <v>332</v>
      </c>
      <c r="E84" s="28" t="s">
        <v>775</v>
      </c>
      <c r="F84" s="58"/>
      <c r="G84" s="78" t="s">
        <v>776</v>
      </c>
    </row>
    <row r="85" spans="1:7" x14ac:dyDescent="0.25">
      <c r="A85" s="66">
        <v>0</v>
      </c>
      <c r="B85" s="66">
        <v>1</v>
      </c>
      <c r="C85" s="53"/>
      <c r="D85" s="28" t="s">
        <v>335</v>
      </c>
      <c r="E85" s="28" t="s">
        <v>777</v>
      </c>
      <c r="F85" s="61">
        <f>F83-F84</f>
        <v>0</v>
      </c>
      <c r="G85" s="76" t="s">
        <v>778</v>
      </c>
    </row>
    <row r="86" spans="1:7" ht="15.75" thickBot="1" x14ac:dyDescent="0.3">
      <c r="A86" s="66">
        <v>0</v>
      </c>
      <c r="B86" s="66">
        <v>1</v>
      </c>
      <c r="C86" s="53"/>
      <c r="D86" s="28" t="s">
        <v>338</v>
      </c>
      <c r="E86" s="28" t="s">
        <v>779</v>
      </c>
      <c r="F86" s="58"/>
      <c r="G86" s="78"/>
    </row>
    <row r="87" spans="1:7" ht="15.75" thickBot="1" x14ac:dyDescent="0.3">
      <c r="A87" s="66">
        <v>0</v>
      </c>
      <c r="B87" s="66">
        <v>1</v>
      </c>
      <c r="E87" s="45" t="s">
        <v>780</v>
      </c>
      <c r="F87" s="46">
        <f>IFERROR((F84+F86)/F83,0)</f>
        <v>0</v>
      </c>
      <c r="G87" s="37" t="s">
        <v>781</v>
      </c>
    </row>
    <row r="88" spans="1:7" ht="15.75" thickBot="1" x14ac:dyDescent="0.3">
      <c r="A88" s="66">
        <v>0</v>
      </c>
      <c r="B88" s="66">
        <v>1</v>
      </c>
      <c r="E88" s="47" t="s">
        <v>782</v>
      </c>
      <c r="F88" s="44">
        <f>F87</f>
        <v>0</v>
      </c>
      <c r="G88" s="37"/>
    </row>
    <row r="90" spans="1:7" s="1" customFormat="1" ht="45" customHeight="1" x14ac:dyDescent="0.25">
      <c r="A90" s="66">
        <v>0</v>
      </c>
      <c r="B90" s="66">
        <v>1</v>
      </c>
      <c r="C90" s="112"/>
      <c r="D90" s="112"/>
      <c r="E90" s="152" t="s">
        <v>2080</v>
      </c>
      <c r="F90" s="147" t="s">
        <v>2053</v>
      </c>
      <c r="G90" s="159"/>
    </row>
    <row r="91" spans="1:7" s="1" customFormat="1" x14ac:dyDescent="0.25">
      <c r="A91" s="64"/>
      <c r="B91" s="64"/>
      <c r="C91" s="112"/>
      <c r="D91" s="112"/>
      <c r="E91" s="112"/>
      <c r="F91" s="56"/>
      <c r="G91" s="150"/>
    </row>
    <row r="92" spans="1:7" x14ac:dyDescent="0.25">
      <c r="A92" s="66">
        <v>9</v>
      </c>
      <c r="B92" s="66">
        <v>2</v>
      </c>
      <c r="C92" s="52">
        <v>4.08</v>
      </c>
      <c r="D92" s="215" t="s">
        <v>197</v>
      </c>
      <c r="E92" s="215"/>
      <c r="F92" s="27" t="s">
        <v>320</v>
      </c>
      <c r="G92" s="146" t="s">
        <v>321</v>
      </c>
    </row>
    <row r="93" spans="1:7" x14ac:dyDescent="0.25">
      <c r="A93" s="66">
        <v>9</v>
      </c>
      <c r="B93" s="66">
        <v>2</v>
      </c>
      <c r="C93" s="53"/>
      <c r="D93" s="28" t="s">
        <v>322</v>
      </c>
      <c r="E93" s="28" t="s">
        <v>783</v>
      </c>
      <c r="F93" s="58"/>
      <c r="G93" s="78" t="s">
        <v>784</v>
      </c>
    </row>
    <row r="94" spans="1:7" x14ac:dyDescent="0.25">
      <c r="A94" s="66">
        <v>9</v>
      </c>
      <c r="B94" s="66">
        <v>2</v>
      </c>
      <c r="C94" s="53"/>
      <c r="D94" s="28" t="s">
        <v>327</v>
      </c>
      <c r="E94" s="28" t="s">
        <v>785</v>
      </c>
      <c r="F94" s="58"/>
      <c r="G94" s="78" t="s">
        <v>786</v>
      </c>
    </row>
    <row r="95" spans="1:7" x14ac:dyDescent="0.25">
      <c r="A95" s="66">
        <v>9</v>
      </c>
      <c r="B95" s="66">
        <v>2</v>
      </c>
      <c r="C95" s="53"/>
      <c r="D95" s="28" t="s">
        <v>330</v>
      </c>
      <c r="E95" s="28" t="s">
        <v>787</v>
      </c>
      <c r="F95" s="58"/>
      <c r="G95" s="78" t="s">
        <v>788</v>
      </c>
    </row>
    <row r="96" spans="1:7" x14ac:dyDescent="0.25">
      <c r="A96" s="66">
        <v>9</v>
      </c>
      <c r="B96" s="66">
        <v>2</v>
      </c>
      <c r="C96" s="53"/>
      <c r="D96" s="28" t="s">
        <v>332</v>
      </c>
      <c r="E96" s="28" t="s">
        <v>789</v>
      </c>
      <c r="F96" s="29">
        <f>F94-F95</f>
        <v>0</v>
      </c>
      <c r="G96" s="76" t="s">
        <v>790</v>
      </c>
    </row>
    <row r="97" spans="1:7" x14ac:dyDescent="0.25">
      <c r="A97" s="66">
        <v>9</v>
      </c>
      <c r="B97" s="66">
        <v>2</v>
      </c>
      <c r="C97" s="53"/>
      <c r="D97" s="28" t="s">
        <v>335</v>
      </c>
      <c r="E97" s="28" t="s">
        <v>791</v>
      </c>
      <c r="F97" s="58"/>
      <c r="G97" s="78" t="s">
        <v>792</v>
      </c>
    </row>
    <row r="98" spans="1:7" ht="15.75" thickBot="1" x14ac:dyDescent="0.3">
      <c r="A98" s="66">
        <v>9</v>
      </c>
      <c r="B98" s="66">
        <v>2</v>
      </c>
      <c r="C98" s="53"/>
      <c r="D98" s="28" t="s">
        <v>338</v>
      </c>
      <c r="E98" s="28" t="s">
        <v>793</v>
      </c>
      <c r="F98" s="29">
        <f>F96-F97</f>
        <v>0</v>
      </c>
      <c r="G98" s="76" t="s">
        <v>794</v>
      </c>
    </row>
    <row r="99" spans="1:7" ht="15.75" thickBot="1" x14ac:dyDescent="0.3">
      <c r="A99" s="66">
        <v>9</v>
      </c>
      <c r="B99" s="66">
        <v>2</v>
      </c>
      <c r="E99" s="45" t="s">
        <v>795</v>
      </c>
      <c r="F99" s="46">
        <f>IFERROR((F95+F97)/F94,0)</f>
        <v>0</v>
      </c>
      <c r="G99" s="37" t="s">
        <v>796</v>
      </c>
    </row>
    <row r="100" spans="1:7" ht="15.75" thickBot="1" x14ac:dyDescent="0.3">
      <c r="A100" s="66">
        <v>9</v>
      </c>
      <c r="B100" s="66">
        <v>2</v>
      </c>
      <c r="E100" s="45" t="s">
        <v>797</v>
      </c>
      <c r="F100" s="46">
        <f>IFERROR(F98/F94,0)</f>
        <v>0</v>
      </c>
      <c r="G100" s="37" t="s">
        <v>798</v>
      </c>
    </row>
    <row r="101" spans="1:7" ht="15.75" thickBot="1" x14ac:dyDescent="0.3">
      <c r="A101" s="66">
        <v>9</v>
      </c>
      <c r="B101" s="66">
        <v>2</v>
      </c>
      <c r="E101" s="47" t="s">
        <v>799</v>
      </c>
      <c r="F101" s="44">
        <f>F99</f>
        <v>0</v>
      </c>
      <c r="G101" s="37"/>
    </row>
    <row r="103" spans="1:7" s="1" customFormat="1" ht="45" customHeight="1" x14ac:dyDescent="0.25">
      <c r="A103" s="66">
        <v>9</v>
      </c>
      <c r="B103" s="66">
        <v>2</v>
      </c>
      <c r="C103" s="54"/>
      <c r="D103" s="112"/>
      <c r="E103" s="152" t="s">
        <v>2080</v>
      </c>
      <c r="F103" s="147" t="s">
        <v>2053</v>
      </c>
      <c r="G103" s="159"/>
    </row>
    <row r="104" spans="1:7" s="1" customFormat="1" x14ac:dyDescent="0.25">
      <c r="A104" s="64"/>
      <c r="B104" s="64"/>
      <c r="C104" s="112"/>
      <c r="D104" s="112"/>
      <c r="E104" s="112"/>
      <c r="F104" s="56"/>
      <c r="G104" s="150"/>
    </row>
    <row r="105" spans="1:7" x14ac:dyDescent="0.25">
      <c r="A105" s="66">
        <v>9</v>
      </c>
      <c r="B105" s="66">
        <v>2</v>
      </c>
      <c r="C105" s="52">
        <v>4.09</v>
      </c>
      <c r="D105" s="215" t="s">
        <v>198</v>
      </c>
      <c r="E105" s="215"/>
      <c r="F105" s="27" t="s">
        <v>320</v>
      </c>
      <c r="G105" s="146" t="s">
        <v>321</v>
      </c>
    </row>
    <row r="106" spans="1:7" x14ac:dyDescent="0.25">
      <c r="A106" s="66">
        <v>9</v>
      </c>
      <c r="B106" s="66">
        <v>2</v>
      </c>
      <c r="C106" s="53"/>
      <c r="D106" s="28" t="s">
        <v>322</v>
      </c>
      <c r="E106" s="28" t="s">
        <v>800</v>
      </c>
      <c r="F106" s="58"/>
      <c r="G106" s="78" t="s">
        <v>801</v>
      </c>
    </row>
    <row r="107" spans="1:7" x14ac:dyDescent="0.25">
      <c r="A107" s="66">
        <v>9</v>
      </c>
      <c r="B107" s="66">
        <v>2</v>
      </c>
      <c r="C107" s="53"/>
      <c r="D107" s="28" t="s">
        <v>327</v>
      </c>
      <c r="E107" s="28" t="s">
        <v>802</v>
      </c>
      <c r="F107" s="58"/>
      <c r="G107" s="78" t="s">
        <v>803</v>
      </c>
    </row>
    <row r="108" spans="1:7" x14ac:dyDescent="0.25">
      <c r="A108" s="66">
        <v>9</v>
      </c>
      <c r="B108" s="66">
        <v>2</v>
      </c>
      <c r="C108" s="53"/>
      <c r="D108" s="28" t="s">
        <v>330</v>
      </c>
      <c r="E108" s="28" t="s">
        <v>804</v>
      </c>
      <c r="F108" s="58"/>
      <c r="G108" s="78" t="s">
        <v>805</v>
      </c>
    </row>
    <row r="109" spans="1:7" ht="15.75" thickBot="1" x14ac:dyDescent="0.3">
      <c r="A109" s="66">
        <v>9</v>
      </c>
      <c r="B109" s="66">
        <v>2</v>
      </c>
      <c r="C109" s="53"/>
      <c r="D109" s="28" t="s">
        <v>332</v>
      </c>
      <c r="E109" s="28" t="s">
        <v>806</v>
      </c>
      <c r="F109" s="29">
        <f>F107-F108</f>
        <v>0</v>
      </c>
      <c r="G109" s="76" t="s">
        <v>807</v>
      </c>
    </row>
    <row r="110" spans="1:7" ht="15.75" thickBot="1" x14ac:dyDescent="0.3">
      <c r="A110" s="66">
        <v>9</v>
      </c>
      <c r="B110" s="66">
        <v>2</v>
      </c>
      <c r="E110" s="45" t="s">
        <v>808</v>
      </c>
      <c r="F110" s="46">
        <f>IFERROR(F108/F107,0)</f>
        <v>0</v>
      </c>
      <c r="G110" s="37" t="s">
        <v>348</v>
      </c>
    </row>
    <row r="111" spans="1:7" ht="15.75" thickBot="1" x14ac:dyDescent="0.3">
      <c r="A111" s="66">
        <v>9</v>
      </c>
      <c r="B111" s="66">
        <v>2</v>
      </c>
      <c r="E111" s="47" t="s">
        <v>809</v>
      </c>
      <c r="F111" s="44">
        <f>F110</f>
        <v>0</v>
      </c>
      <c r="G111" s="37"/>
    </row>
    <row r="113" spans="1:7" s="1" customFormat="1" ht="45" customHeight="1" x14ac:dyDescent="0.25">
      <c r="A113" s="66">
        <v>9</v>
      </c>
      <c r="B113" s="66">
        <v>2</v>
      </c>
      <c r="C113" s="54"/>
      <c r="D113" s="112"/>
      <c r="E113" s="152" t="s">
        <v>2080</v>
      </c>
      <c r="F113" s="147" t="s">
        <v>2053</v>
      </c>
      <c r="G113" s="159"/>
    </row>
    <row r="114" spans="1:7" s="1" customFormat="1" x14ac:dyDescent="0.25">
      <c r="A114" s="64"/>
      <c r="B114" s="64"/>
      <c r="C114" s="112"/>
      <c r="D114" s="112"/>
      <c r="E114" s="112"/>
      <c r="F114" s="56"/>
      <c r="G114" s="150"/>
    </row>
    <row r="115" spans="1:7" x14ac:dyDescent="0.25">
      <c r="A115" s="66">
        <v>9</v>
      </c>
      <c r="B115" s="66">
        <v>2</v>
      </c>
      <c r="C115" s="52">
        <v>4.0999999999999996</v>
      </c>
      <c r="D115" s="215" t="s">
        <v>199</v>
      </c>
      <c r="E115" s="215"/>
      <c r="F115" s="27" t="s">
        <v>320</v>
      </c>
      <c r="G115" s="146" t="s">
        <v>321</v>
      </c>
    </row>
    <row r="116" spans="1:7" x14ac:dyDescent="0.25">
      <c r="A116" s="66">
        <v>9</v>
      </c>
      <c r="B116" s="66">
        <v>2</v>
      </c>
      <c r="C116" s="53"/>
      <c r="D116" s="28" t="s">
        <v>322</v>
      </c>
      <c r="E116" s="28" t="s">
        <v>810</v>
      </c>
      <c r="F116" s="58"/>
      <c r="G116" s="78" t="s">
        <v>811</v>
      </c>
    </row>
    <row r="117" spans="1:7" x14ac:dyDescent="0.25">
      <c r="A117" s="66">
        <v>9</v>
      </c>
      <c r="B117" s="66">
        <v>2</v>
      </c>
      <c r="C117" s="53"/>
      <c r="D117" s="28" t="s">
        <v>327</v>
      </c>
      <c r="E117" s="28" t="s">
        <v>812</v>
      </c>
      <c r="F117" s="58"/>
      <c r="G117" s="78" t="s">
        <v>813</v>
      </c>
    </row>
    <row r="118" spans="1:7" x14ac:dyDescent="0.25">
      <c r="A118" s="66">
        <v>9</v>
      </c>
      <c r="B118" s="66">
        <v>2</v>
      </c>
      <c r="C118" s="53"/>
      <c r="D118" s="28" t="s">
        <v>330</v>
      </c>
      <c r="E118" s="28" t="s">
        <v>814</v>
      </c>
      <c r="F118" s="58"/>
      <c r="G118" s="78" t="s">
        <v>815</v>
      </c>
    </row>
    <row r="119" spans="1:7" x14ac:dyDescent="0.25">
      <c r="A119" s="66">
        <v>9</v>
      </c>
      <c r="B119" s="66">
        <v>2</v>
      </c>
      <c r="C119" s="53"/>
      <c r="D119" s="28" t="s">
        <v>332</v>
      </c>
      <c r="E119" s="28" t="s">
        <v>816</v>
      </c>
      <c r="F119" s="58"/>
      <c r="G119" s="78" t="s">
        <v>817</v>
      </c>
    </row>
    <row r="120" spans="1:7" ht="15.75" thickBot="1" x14ac:dyDescent="0.3">
      <c r="A120" s="66">
        <v>9</v>
      </c>
      <c r="B120" s="66">
        <v>2</v>
      </c>
      <c r="C120" s="53"/>
      <c r="D120" s="28" t="s">
        <v>335</v>
      </c>
      <c r="E120" s="28" t="s">
        <v>818</v>
      </c>
      <c r="F120" s="58"/>
      <c r="G120" s="78" t="s">
        <v>819</v>
      </c>
    </row>
    <row r="121" spans="1:7" ht="15.75" thickBot="1" x14ac:dyDescent="0.3">
      <c r="A121" s="66">
        <v>9</v>
      </c>
      <c r="B121" s="66">
        <v>2</v>
      </c>
      <c r="E121" s="45" t="s">
        <v>820</v>
      </c>
      <c r="F121" s="46">
        <f>IFERROR((F117+F119)/F116,0)</f>
        <v>0</v>
      </c>
      <c r="G121" s="37" t="s">
        <v>821</v>
      </c>
    </row>
    <row r="122" spans="1:7" ht="15.75" thickBot="1" x14ac:dyDescent="0.3">
      <c r="A122" s="66">
        <v>9</v>
      </c>
      <c r="B122" s="66">
        <v>2</v>
      </c>
      <c r="E122" s="47" t="s">
        <v>822</v>
      </c>
      <c r="F122" s="44">
        <f>F121</f>
        <v>0</v>
      </c>
      <c r="G122" s="37"/>
    </row>
    <row r="124" spans="1:7" s="1" customFormat="1" ht="45" customHeight="1" x14ac:dyDescent="0.25">
      <c r="A124" s="66">
        <v>9</v>
      </c>
      <c r="B124" s="66">
        <v>2</v>
      </c>
      <c r="C124" s="112"/>
      <c r="D124" s="112"/>
      <c r="E124" s="152" t="s">
        <v>2080</v>
      </c>
      <c r="F124" s="147" t="s">
        <v>2053</v>
      </c>
      <c r="G124" s="159"/>
    </row>
    <row r="125" spans="1:7" s="1" customFormat="1" x14ac:dyDescent="0.25">
      <c r="A125" s="64"/>
      <c r="B125" s="64"/>
      <c r="C125" s="112"/>
      <c r="D125" s="112"/>
      <c r="E125" s="112"/>
      <c r="F125" s="56"/>
      <c r="G125" s="150"/>
    </row>
    <row r="126" spans="1:7" x14ac:dyDescent="0.25">
      <c r="A126" s="66">
        <v>9</v>
      </c>
      <c r="B126" s="66">
        <v>2</v>
      </c>
      <c r="C126" s="52">
        <v>4.1100000000000003</v>
      </c>
      <c r="D126" s="215" t="s">
        <v>200</v>
      </c>
      <c r="E126" s="215"/>
      <c r="F126" s="27" t="s">
        <v>320</v>
      </c>
      <c r="G126" s="146" t="s">
        <v>321</v>
      </c>
    </row>
    <row r="127" spans="1:7" x14ac:dyDescent="0.25">
      <c r="A127" s="66">
        <v>9</v>
      </c>
      <c r="B127" s="66">
        <v>2</v>
      </c>
      <c r="C127" s="53"/>
      <c r="D127" s="28" t="s">
        <v>322</v>
      </c>
      <c r="E127" s="28" t="s">
        <v>823</v>
      </c>
      <c r="F127" s="58"/>
      <c r="G127" s="78" t="s">
        <v>824</v>
      </c>
    </row>
    <row r="128" spans="1:7" x14ac:dyDescent="0.25">
      <c r="A128" s="66">
        <v>9</v>
      </c>
      <c r="B128" s="66">
        <v>2</v>
      </c>
      <c r="C128" s="53"/>
      <c r="D128" s="28" t="s">
        <v>327</v>
      </c>
      <c r="E128" s="28" t="s">
        <v>825</v>
      </c>
      <c r="F128" s="58"/>
      <c r="G128" s="78" t="s">
        <v>826</v>
      </c>
    </row>
    <row r="129" spans="1:7" ht="15.75" thickBot="1" x14ac:dyDescent="0.3">
      <c r="A129" s="66">
        <v>9</v>
      </c>
      <c r="B129" s="66">
        <v>2</v>
      </c>
      <c r="C129" s="53"/>
      <c r="D129" s="28" t="s">
        <v>330</v>
      </c>
      <c r="E129" s="28" t="s">
        <v>827</v>
      </c>
      <c r="F129" s="29">
        <f>F127-F128</f>
        <v>0</v>
      </c>
      <c r="G129" s="76" t="s">
        <v>828</v>
      </c>
    </row>
    <row r="130" spans="1:7" ht="15.75" thickBot="1" x14ac:dyDescent="0.3">
      <c r="A130" s="66">
        <v>9</v>
      </c>
      <c r="B130" s="66">
        <v>2</v>
      </c>
      <c r="E130" s="45" t="s">
        <v>829</v>
      </c>
      <c r="F130" s="46">
        <f>IFERROR(F128/F127,0)</f>
        <v>0</v>
      </c>
      <c r="G130" s="37" t="s">
        <v>378</v>
      </c>
    </row>
    <row r="131" spans="1:7" ht="15.75" thickBot="1" x14ac:dyDescent="0.3">
      <c r="A131" s="66">
        <v>9</v>
      </c>
      <c r="B131" s="66">
        <v>2</v>
      </c>
      <c r="E131" s="47" t="s">
        <v>830</v>
      </c>
      <c r="F131" s="44">
        <f>F130</f>
        <v>0</v>
      </c>
      <c r="G131" s="37"/>
    </row>
    <row r="133" spans="1:7" s="1" customFormat="1" ht="45" customHeight="1" x14ac:dyDescent="0.25">
      <c r="A133" s="66">
        <v>9</v>
      </c>
      <c r="B133" s="66">
        <v>2</v>
      </c>
      <c r="C133" s="112"/>
      <c r="D133" s="112"/>
      <c r="E133" s="152" t="s">
        <v>2080</v>
      </c>
      <c r="F133" s="147" t="s">
        <v>2053</v>
      </c>
      <c r="G133" s="159"/>
    </row>
    <row r="134" spans="1:7" s="1" customFormat="1" x14ac:dyDescent="0.25">
      <c r="A134" s="64"/>
      <c r="B134" s="64"/>
      <c r="C134" s="112"/>
      <c r="D134" s="112"/>
      <c r="E134" s="112"/>
      <c r="F134" s="56"/>
      <c r="G134" s="150"/>
    </row>
    <row r="135" spans="1:7" x14ac:dyDescent="0.25">
      <c r="A135" s="66">
        <v>9</v>
      </c>
      <c r="B135" s="66">
        <v>3</v>
      </c>
      <c r="C135" s="52">
        <v>4.12</v>
      </c>
      <c r="D135" s="215" t="s">
        <v>201</v>
      </c>
      <c r="E135" s="215"/>
      <c r="F135" s="27" t="s">
        <v>320</v>
      </c>
      <c r="G135" s="146" t="s">
        <v>321</v>
      </c>
    </row>
    <row r="136" spans="1:7" x14ac:dyDescent="0.25">
      <c r="A136" s="66">
        <v>9</v>
      </c>
      <c r="B136" s="66">
        <v>3</v>
      </c>
      <c r="C136" s="53"/>
      <c r="D136" s="28" t="s">
        <v>322</v>
      </c>
      <c r="E136" s="28" t="s">
        <v>831</v>
      </c>
      <c r="F136" s="58"/>
      <c r="G136" s="78" t="s">
        <v>832</v>
      </c>
    </row>
    <row r="137" spans="1:7" x14ac:dyDescent="0.25">
      <c r="A137" s="66">
        <v>9</v>
      </c>
      <c r="B137" s="66">
        <v>3</v>
      </c>
      <c r="C137" s="53"/>
      <c r="D137" s="28" t="s">
        <v>327</v>
      </c>
      <c r="E137" s="28" t="s">
        <v>833</v>
      </c>
      <c r="F137" s="58"/>
      <c r="G137" s="78" t="s">
        <v>834</v>
      </c>
    </row>
    <row r="138" spans="1:7" x14ac:dyDescent="0.25">
      <c r="A138" s="66">
        <v>9</v>
      </c>
      <c r="B138" s="66">
        <v>3</v>
      </c>
      <c r="C138" s="53"/>
      <c r="D138" s="28" t="s">
        <v>330</v>
      </c>
      <c r="E138" s="28" t="s">
        <v>835</v>
      </c>
      <c r="F138" s="58"/>
      <c r="G138" s="78" t="s">
        <v>836</v>
      </c>
    </row>
    <row r="139" spans="1:7" x14ac:dyDescent="0.25">
      <c r="A139" s="66">
        <v>9</v>
      </c>
      <c r="B139" s="66">
        <v>3</v>
      </c>
      <c r="C139" s="53"/>
      <c r="D139" s="28" t="s">
        <v>332</v>
      </c>
      <c r="E139" s="28" t="s">
        <v>837</v>
      </c>
      <c r="F139" s="29">
        <f>F137-F138</f>
        <v>0</v>
      </c>
      <c r="G139" s="76" t="s">
        <v>838</v>
      </c>
    </row>
    <row r="140" spans="1:7" ht="30" x14ac:dyDescent="0.25">
      <c r="A140" s="66">
        <v>9</v>
      </c>
      <c r="B140" s="66">
        <v>3</v>
      </c>
      <c r="C140" s="53"/>
      <c r="D140" s="28" t="s">
        <v>335</v>
      </c>
      <c r="E140" s="28" t="s">
        <v>839</v>
      </c>
      <c r="F140" s="58"/>
      <c r="G140" s="78" t="s">
        <v>840</v>
      </c>
    </row>
    <row r="141" spans="1:7" ht="15.75" thickBot="1" x14ac:dyDescent="0.3">
      <c r="A141" s="66">
        <v>9</v>
      </c>
      <c r="B141" s="66">
        <v>3</v>
      </c>
      <c r="C141" s="53"/>
      <c r="D141" s="28" t="s">
        <v>338</v>
      </c>
      <c r="E141" s="28" t="s">
        <v>841</v>
      </c>
      <c r="F141" s="29">
        <f>F138-F140</f>
        <v>0</v>
      </c>
      <c r="G141" s="76" t="s">
        <v>842</v>
      </c>
    </row>
    <row r="142" spans="1:7" ht="15.75" thickBot="1" x14ac:dyDescent="0.3">
      <c r="A142" s="66">
        <v>9</v>
      </c>
      <c r="B142" s="66">
        <v>3</v>
      </c>
      <c r="E142" s="45" t="s">
        <v>843</v>
      </c>
      <c r="F142" s="46">
        <f>IFERROR(F140/F137,0)</f>
        <v>0</v>
      </c>
      <c r="G142" s="37" t="s">
        <v>844</v>
      </c>
    </row>
    <row r="143" spans="1:7" ht="15.75" thickBot="1" x14ac:dyDescent="0.3">
      <c r="A143" s="66">
        <v>9</v>
      </c>
      <c r="B143" s="66">
        <v>3</v>
      </c>
      <c r="E143" s="47" t="s">
        <v>845</v>
      </c>
      <c r="F143" s="44">
        <f>F142</f>
        <v>0</v>
      </c>
      <c r="G143" s="37"/>
    </row>
    <row r="145" spans="1:7" s="1" customFormat="1" ht="45" customHeight="1" x14ac:dyDescent="0.25">
      <c r="A145" s="66">
        <v>9</v>
      </c>
      <c r="B145" s="66">
        <v>3</v>
      </c>
      <c r="C145" s="112"/>
      <c r="D145" s="112"/>
      <c r="E145" s="152" t="s">
        <v>2080</v>
      </c>
      <c r="F145" s="147" t="s">
        <v>2053</v>
      </c>
      <c r="G145" s="159"/>
    </row>
    <row r="146" spans="1:7" s="1" customFormat="1" x14ac:dyDescent="0.25">
      <c r="A146" s="64"/>
      <c r="B146" s="64"/>
      <c r="C146" s="112"/>
      <c r="D146" s="112"/>
      <c r="E146" s="112"/>
      <c r="F146" s="56"/>
      <c r="G146" s="150"/>
    </row>
  </sheetData>
  <sheetProtection algorithmName="SHA-512" hashValue="4cs77TW59cwSM+TJeqd8alOwIJl4yila2RIXu3lU+YC8U2VyjqKoKYkRCMj4IdoDsHOozjYHCmz9zLLiQhx4Xw==" saltValue="pLjiwkYAHKHMpbtYBzQJvA==" spinCount="100000" sheet="1" formatRows="0" selectLockedCells="1"/>
  <mergeCells count="13">
    <mergeCell ref="D115:E115"/>
    <mergeCell ref="D126:E126"/>
    <mergeCell ref="D135:E135"/>
    <mergeCell ref="D52:E52"/>
    <mergeCell ref="D69:E69"/>
    <mergeCell ref="D80:E80"/>
    <mergeCell ref="D92:E92"/>
    <mergeCell ref="D105:E105"/>
    <mergeCell ref="C2:E2"/>
    <mergeCell ref="D4:E4"/>
    <mergeCell ref="D16:E16"/>
    <mergeCell ref="D28:E28"/>
    <mergeCell ref="D40:E40"/>
  </mergeCells>
  <conditionalFormatting sqref="E1:E1048576">
    <cfRule type="containsText" dxfId="48" priority="2" operator="containsText" text="Safeguard Scoring Complete">
      <formula>NOT(ISERROR(SEARCH("Safeguard Scoring Complete",E1)))</formula>
    </cfRule>
    <cfRule type="containsText" dxfId="47" priority="15" operator="containsText" text="Safeguard Scoring Incomplete">
      <formula>NOT(ISERROR(SEARCH("Safeguard Scoring Incomplete",E1)))</formula>
    </cfRule>
  </conditionalFormatting>
  <dataValidations count="3">
    <dataValidation type="list" allowBlank="1" showInputMessage="1" showErrorMessage="1" sqref="F2" xr:uid="{AFAA70F4-65ED-4306-905C-68CF0525FABB}">
      <formula1>"Assessed,Not Assessed"</formula1>
    </dataValidation>
    <dataValidation type="list" allowBlank="1" showInputMessage="1" showErrorMessage="1" sqref="F55:F62" xr:uid="{72472713-3C49-4091-A3A6-38EE976AC4BF}">
      <formula1>"0,1"</formula1>
    </dataValidation>
    <dataValidation type="list" allowBlank="1" showInputMessage="1" showErrorMessage="1" sqref="E14 E26 E38 E50 E67 E78 E90 E103 E113 E124 E133 E145" xr:uid="{83613869-DB2F-48C5-9AAC-76812ACFF4E4}">
      <formula1>"Safeguard Scoring Complete,Safeguard Scoring Incomplete"</formula1>
    </dataValidation>
  </dataValidations>
  <hyperlinks>
    <hyperlink ref="G2" r:id="rId1" xr:uid="{11DA7028-17D5-4D7C-BCF0-1D53F44F77B9}"/>
  </hyperlinks>
  <pageMargins left="0.7" right="0.7" top="0.75" bottom="0.75" header="0.3" footer="0.3"/>
  <pageSetup orientation="portrait" horizontalDpi="1200" verticalDpi="1200" r:id="rId2"/>
  <extLst>
    <ext xmlns:x14="http://schemas.microsoft.com/office/spreadsheetml/2009/9/main" uri="{78C0D931-6437-407d-A8EE-F0AAD7539E65}">
      <x14:conditionalFormattings>
        <x14:conditionalFormatting xmlns:xm="http://schemas.microsoft.com/office/excel/2006/main">
          <x14:cfRule type="expression" priority="1" id="{99E8E405-8052-4AEA-B8BC-4DB40FD0FB81}">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D0B4-0D21-4F28-AA2A-2E40DD1A6673}">
  <sheetPr codeName="Sheet8"/>
  <dimension ref="A2:G84"/>
  <sheetViews>
    <sheetView showGridLines="0" topLeftCell="A33" workbookViewId="0">
      <selection activeCell="E59" sqref="E59"/>
    </sheetView>
  </sheetViews>
  <sheetFormatPr defaultColWidth="9.140625" defaultRowHeight="15" x14ac:dyDescent="0.25"/>
  <cols>
    <col min="1" max="2" width="2.7109375" style="66" customWidth="1"/>
    <col min="3"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846</v>
      </c>
      <c r="D2" s="214"/>
      <c r="E2" s="214"/>
      <c r="F2" s="100" t="s">
        <v>318</v>
      </c>
      <c r="G2" s="208" t="s">
        <v>2189</v>
      </c>
    </row>
    <row r="4" spans="1:7" x14ac:dyDescent="0.25">
      <c r="A4" s="66">
        <v>0</v>
      </c>
      <c r="B4" s="66">
        <v>1</v>
      </c>
      <c r="C4" s="146">
        <v>5.01</v>
      </c>
      <c r="D4" s="215" t="s">
        <v>202</v>
      </c>
      <c r="E4" s="215"/>
      <c r="F4" s="27" t="s">
        <v>320</v>
      </c>
      <c r="G4" s="146" t="s">
        <v>321</v>
      </c>
    </row>
    <row r="5" spans="1:7" x14ac:dyDescent="0.25">
      <c r="A5" s="66">
        <v>0</v>
      </c>
      <c r="B5" s="66">
        <v>1</v>
      </c>
      <c r="C5" s="25"/>
      <c r="D5" s="28" t="s">
        <v>322</v>
      </c>
      <c r="E5" s="28" t="s">
        <v>847</v>
      </c>
      <c r="F5" s="57">
        <f>IF(Artifacts!$E$19="Artifact Provided",1,0)</f>
        <v>0</v>
      </c>
      <c r="G5" s="76" t="s">
        <v>324</v>
      </c>
    </row>
    <row r="6" spans="1:7" x14ac:dyDescent="0.25">
      <c r="A6" s="66">
        <v>0</v>
      </c>
      <c r="B6" s="66">
        <v>1</v>
      </c>
      <c r="C6" s="25"/>
      <c r="D6" s="28" t="s">
        <v>327</v>
      </c>
      <c r="E6" s="28" t="s">
        <v>848</v>
      </c>
      <c r="F6" s="58"/>
      <c r="G6" s="78"/>
    </row>
    <row r="7" spans="1:7" x14ac:dyDescent="0.25">
      <c r="A7" s="66">
        <v>0</v>
      </c>
      <c r="B7" s="66">
        <v>1</v>
      </c>
      <c r="C7" s="25"/>
      <c r="D7" s="28" t="s">
        <v>330</v>
      </c>
      <c r="E7" s="28" t="s">
        <v>849</v>
      </c>
      <c r="F7" s="61">
        <v>4</v>
      </c>
      <c r="G7" s="77" t="s">
        <v>850</v>
      </c>
    </row>
    <row r="8" spans="1:7" x14ac:dyDescent="0.25">
      <c r="A8" s="66">
        <v>0</v>
      </c>
      <c r="B8" s="66">
        <v>1</v>
      </c>
      <c r="C8" s="25"/>
      <c r="D8" s="28" t="s">
        <v>332</v>
      </c>
      <c r="E8" s="28" t="s">
        <v>851</v>
      </c>
      <c r="F8" s="58"/>
      <c r="G8" s="78"/>
    </row>
    <row r="9" spans="1:7" x14ac:dyDescent="0.25">
      <c r="A9" s="66">
        <v>0</v>
      </c>
      <c r="B9" s="66">
        <v>1</v>
      </c>
      <c r="C9" s="25"/>
      <c r="D9" s="28" t="s">
        <v>335</v>
      </c>
      <c r="E9" s="28" t="s">
        <v>852</v>
      </c>
      <c r="F9" s="61">
        <f>(F6*F7)-F8</f>
        <v>0</v>
      </c>
      <c r="G9" s="77" t="s">
        <v>853</v>
      </c>
    </row>
    <row r="10" spans="1:7" x14ac:dyDescent="0.25">
      <c r="A10" s="66">
        <v>0</v>
      </c>
      <c r="B10" s="66">
        <v>1</v>
      </c>
      <c r="C10" s="25"/>
      <c r="D10" s="28" t="s">
        <v>338</v>
      </c>
      <c r="E10" s="28" t="s">
        <v>854</v>
      </c>
      <c r="F10" s="58"/>
      <c r="G10" s="78"/>
    </row>
    <row r="11" spans="1:7" x14ac:dyDescent="0.25">
      <c r="A11" s="66">
        <v>0</v>
      </c>
      <c r="B11" s="66">
        <v>1</v>
      </c>
      <c r="C11" s="25"/>
      <c r="D11" s="28" t="s">
        <v>341</v>
      </c>
      <c r="E11" s="28" t="s">
        <v>855</v>
      </c>
      <c r="F11" s="58"/>
      <c r="G11" s="78"/>
    </row>
    <row r="12" spans="1:7" x14ac:dyDescent="0.25">
      <c r="A12" s="66">
        <v>0</v>
      </c>
      <c r="B12" s="66">
        <v>1</v>
      </c>
      <c r="C12" s="25"/>
      <c r="D12" s="28" t="s">
        <v>344</v>
      </c>
      <c r="E12" s="28" t="s">
        <v>856</v>
      </c>
      <c r="F12" s="61">
        <f>F10-F11</f>
        <v>0</v>
      </c>
      <c r="G12" s="77" t="s">
        <v>857</v>
      </c>
    </row>
    <row r="13" spans="1:7" ht="15.75" thickBot="1" x14ac:dyDescent="0.3">
      <c r="A13" s="66">
        <v>0</v>
      </c>
      <c r="B13" s="66">
        <v>1</v>
      </c>
      <c r="D13" s="28" t="s">
        <v>522</v>
      </c>
      <c r="E13" t="s">
        <v>858</v>
      </c>
      <c r="F13" s="59">
        <f>DATEDIF(Artifacts!$F$19,GlobalSettings!$C$4,"m")</f>
        <v>1508</v>
      </c>
      <c r="G13" s="77" t="s">
        <v>859</v>
      </c>
    </row>
    <row r="14" spans="1:7" ht="15.75" thickBot="1" x14ac:dyDescent="0.3">
      <c r="A14" s="66">
        <v>0</v>
      </c>
      <c r="B14" s="66">
        <v>1</v>
      </c>
      <c r="E14" s="45" t="s">
        <v>860</v>
      </c>
      <c r="F14" s="46">
        <f>IFERROR(F8/(F6*F7),0)</f>
        <v>0</v>
      </c>
      <c r="G14" s="37" t="s">
        <v>861</v>
      </c>
    </row>
    <row r="15" spans="1:7" ht="15.75" thickBot="1" x14ac:dyDescent="0.3">
      <c r="A15" s="66">
        <v>0</v>
      </c>
      <c r="B15" s="66">
        <v>1</v>
      </c>
      <c r="E15" s="45" t="s">
        <v>862</v>
      </c>
      <c r="F15" s="46">
        <f>IFERROR(F11/F10,0)</f>
        <v>0</v>
      </c>
      <c r="G15" s="37" t="s">
        <v>863</v>
      </c>
    </row>
    <row r="16" spans="1:7" ht="15.75" thickBot="1" x14ac:dyDescent="0.3">
      <c r="A16" s="66">
        <v>0</v>
      </c>
      <c r="B16" s="66">
        <v>1</v>
      </c>
      <c r="E16" s="47" t="s">
        <v>864</v>
      </c>
      <c r="F16" s="44">
        <f>IF(F5=0,0,IF(F13&lt;=3,AVERAGE(F14,F15),IF(GlobalSettings!$C$12="No",0,AVERAGE(F14,F15)*0.5)))</f>
        <v>0</v>
      </c>
      <c r="G16" s="37" t="s">
        <v>2067</v>
      </c>
    </row>
    <row r="18" spans="1:7" s="1" customFormat="1" ht="45" customHeight="1" x14ac:dyDescent="0.25">
      <c r="A18" s="66">
        <v>0</v>
      </c>
      <c r="B18" s="66">
        <v>1</v>
      </c>
      <c r="C18" s="51"/>
      <c r="D18" s="112"/>
      <c r="E18" s="152" t="s">
        <v>2080</v>
      </c>
      <c r="F18" s="147" t="s">
        <v>2053</v>
      </c>
      <c r="G18" s="159"/>
    </row>
    <row r="19" spans="1:7" s="1" customFormat="1" x14ac:dyDescent="0.25">
      <c r="A19" s="64"/>
      <c r="B19" s="64"/>
      <c r="C19" s="112"/>
      <c r="D19" s="112"/>
      <c r="E19" s="112"/>
      <c r="F19" s="56"/>
      <c r="G19" s="150"/>
    </row>
    <row r="20" spans="1:7" x14ac:dyDescent="0.25">
      <c r="A20" s="66">
        <v>0</v>
      </c>
      <c r="B20" s="66">
        <v>1</v>
      </c>
      <c r="C20" s="146">
        <v>5.0199999999999996</v>
      </c>
      <c r="D20" s="215" t="s">
        <v>203</v>
      </c>
      <c r="E20" s="215"/>
      <c r="F20" s="27" t="s">
        <v>320</v>
      </c>
      <c r="G20" s="146" t="s">
        <v>321</v>
      </c>
    </row>
    <row r="21" spans="1:7" x14ac:dyDescent="0.25">
      <c r="A21" s="66">
        <v>0</v>
      </c>
      <c r="B21" s="66">
        <v>1</v>
      </c>
      <c r="C21" s="25"/>
      <c r="D21" s="28" t="s">
        <v>322</v>
      </c>
      <c r="E21" s="28" t="s">
        <v>865</v>
      </c>
      <c r="F21" s="57">
        <f>IF(Artifacts!$E$18="Artifact Provided",1,0)</f>
        <v>0</v>
      </c>
      <c r="G21" s="76" t="s">
        <v>324</v>
      </c>
    </row>
    <row r="22" spans="1:7" x14ac:dyDescent="0.25">
      <c r="A22" s="66">
        <v>0</v>
      </c>
      <c r="B22" s="66">
        <v>1</v>
      </c>
      <c r="C22" s="25"/>
      <c r="D22" s="28" t="s">
        <v>327</v>
      </c>
      <c r="E22" s="28" t="s">
        <v>866</v>
      </c>
      <c r="F22" s="31"/>
      <c r="G22" s="76" t="s">
        <v>402</v>
      </c>
    </row>
    <row r="23" spans="1:7" x14ac:dyDescent="0.25">
      <c r="A23" s="66">
        <v>0</v>
      </c>
      <c r="B23" s="66">
        <v>1</v>
      </c>
      <c r="C23" s="25"/>
      <c r="D23" s="28" t="s">
        <v>330</v>
      </c>
      <c r="E23" s="28" t="s">
        <v>867</v>
      </c>
      <c r="F23" s="58"/>
      <c r="G23" s="78"/>
    </row>
    <row r="24" spans="1:7" x14ac:dyDescent="0.25">
      <c r="A24" s="66">
        <v>0</v>
      </c>
      <c r="B24" s="66">
        <v>1</v>
      </c>
      <c r="C24" s="25"/>
      <c r="D24" s="28" t="s">
        <v>868</v>
      </c>
      <c r="E24" s="28" t="s">
        <v>869</v>
      </c>
      <c r="F24" s="58"/>
      <c r="G24" s="78"/>
    </row>
    <row r="25" spans="1:7" x14ac:dyDescent="0.25">
      <c r="A25" s="66">
        <v>0</v>
      </c>
      <c r="B25" s="66">
        <v>1</v>
      </c>
      <c r="C25" s="25"/>
      <c r="D25" s="28" t="s">
        <v>870</v>
      </c>
      <c r="E25" s="28" t="s">
        <v>871</v>
      </c>
      <c r="F25" s="58"/>
      <c r="G25" s="78"/>
    </row>
    <row r="26" spans="1:7" x14ac:dyDescent="0.25">
      <c r="A26" s="66">
        <v>0</v>
      </c>
      <c r="B26" s="66">
        <v>1</v>
      </c>
      <c r="C26" s="25"/>
      <c r="D26" s="28" t="s">
        <v>872</v>
      </c>
      <c r="E26" s="28" t="s">
        <v>873</v>
      </c>
      <c r="F26" s="58"/>
      <c r="G26" s="78"/>
    </row>
    <row r="27" spans="1:7" x14ac:dyDescent="0.25">
      <c r="A27" s="66">
        <v>0</v>
      </c>
      <c r="B27" s="66">
        <v>1</v>
      </c>
      <c r="C27" s="25"/>
      <c r="D27" s="28" t="s">
        <v>874</v>
      </c>
      <c r="E27" s="28" t="s">
        <v>875</v>
      </c>
      <c r="F27" s="58"/>
      <c r="G27" s="78"/>
    </row>
    <row r="28" spans="1:7" x14ac:dyDescent="0.25">
      <c r="A28" s="66">
        <v>0</v>
      </c>
      <c r="B28" s="66">
        <v>1</v>
      </c>
      <c r="C28" s="25"/>
      <c r="D28" s="28" t="s">
        <v>332</v>
      </c>
      <c r="E28" s="28" t="s">
        <v>876</v>
      </c>
      <c r="F28" s="31"/>
      <c r="G28" s="76" t="s">
        <v>402</v>
      </c>
    </row>
    <row r="29" spans="1:7" ht="15.75" thickBot="1" x14ac:dyDescent="0.3">
      <c r="A29" s="66">
        <v>0</v>
      </c>
      <c r="B29" s="66">
        <v>1</v>
      </c>
      <c r="D29" s="28" t="s">
        <v>335</v>
      </c>
      <c r="E29" s="28" t="s">
        <v>877</v>
      </c>
      <c r="F29" s="31"/>
      <c r="G29" s="76" t="s">
        <v>402</v>
      </c>
    </row>
    <row r="30" spans="1:7" ht="15.75" thickBot="1" x14ac:dyDescent="0.3">
      <c r="A30" s="66">
        <v>0</v>
      </c>
      <c r="B30" s="66">
        <v>1</v>
      </c>
      <c r="E30" s="45" t="s">
        <v>878</v>
      </c>
      <c r="F30" s="46">
        <f>IFERROR(SUM(F24:F27)/(F23*4),0)</f>
        <v>0</v>
      </c>
      <c r="G30" s="37" t="s">
        <v>879</v>
      </c>
    </row>
    <row r="31" spans="1:7" ht="15.75" thickBot="1" x14ac:dyDescent="0.3">
      <c r="A31" s="66">
        <v>0</v>
      </c>
      <c r="B31" s="66">
        <v>1</v>
      </c>
      <c r="E31" s="47" t="s">
        <v>880</v>
      </c>
      <c r="F31" s="44">
        <f>IF(F21=0,0,F30)</f>
        <v>0</v>
      </c>
      <c r="G31" s="37" t="s">
        <v>881</v>
      </c>
    </row>
    <row r="33" spans="1:7" s="1" customFormat="1" ht="45" customHeight="1" x14ac:dyDescent="0.25">
      <c r="A33" s="66">
        <v>0</v>
      </c>
      <c r="B33" s="66">
        <v>1</v>
      </c>
      <c r="C33" s="51"/>
      <c r="D33" s="112"/>
      <c r="E33" s="152" t="s">
        <v>2080</v>
      </c>
      <c r="F33" s="147" t="s">
        <v>2053</v>
      </c>
      <c r="G33" s="159"/>
    </row>
    <row r="34" spans="1:7" s="1" customFormat="1" x14ac:dyDescent="0.25">
      <c r="A34" s="64"/>
      <c r="B34" s="64"/>
      <c r="C34" s="112"/>
      <c r="D34" s="112"/>
      <c r="E34" s="112"/>
      <c r="F34" s="56"/>
      <c r="G34" s="150"/>
    </row>
    <row r="35" spans="1:7" x14ac:dyDescent="0.25">
      <c r="A35" s="66">
        <v>0</v>
      </c>
      <c r="B35" s="66">
        <v>1</v>
      </c>
      <c r="C35" s="146">
        <v>5.03</v>
      </c>
      <c r="D35" s="215" t="s">
        <v>204</v>
      </c>
      <c r="E35" s="215"/>
      <c r="F35" s="27" t="s">
        <v>320</v>
      </c>
      <c r="G35" s="146" t="s">
        <v>321</v>
      </c>
    </row>
    <row r="36" spans="1:7" x14ac:dyDescent="0.25">
      <c r="A36" s="66">
        <v>0</v>
      </c>
      <c r="B36" s="66">
        <v>1</v>
      </c>
      <c r="C36" s="25"/>
      <c r="D36" s="28" t="s">
        <v>322</v>
      </c>
      <c r="E36" s="28" t="s">
        <v>2097</v>
      </c>
      <c r="F36" s="29">
        <f>F10</f>
        <v>0</v>
      </c>
      <c r="G36" s="76" t="s">
        <v>2098</v>
      </c>
    </row>
    <row r="37" spans="1:7" x14ac:dyDescent="0.25">
      <c r="A37" s="66">
        <v>0</v>
      </c>
      <c r="B37" s="66">
        <v>1</v>
      </c>
      <c r="C37" s="25"/>
      <c r="D37" s="28" t="s">
        <v>327</v>
      </c>
      <c r="E37" s="28" t="s">
        <v>882</v>
      </c>
      <c r="F37" s="58"/>
      <c r="G37" s="78"/>
    </row>
    <row r="38" spans="1:7" x14ac:dyDescent="0.25">
      <c r="A38" s="66">
        <v>0</v>
      </c>
      <c r="B38" s="66">
        <v>1</v>
      </c>
      <c r="C38" s="25"/>
      <c r="D38" s="28" t="s">
        <v>330</v>
      </c>
      <c r="E38" s="28" t="s">
        <v>883</v>
      </c>
      <c r="F38" s="58"/>
      <c r="G38" s="78"/>
    </row>
    <row r="39" spans="1:7" x14ac:dyDescent="0.25">
      <c r="A39" s="66">
        <v>0</v>
      </c>
      <c r="B39" s="66">
        <v>1</v>
      </c>
      <c r="C39" s="25"/>
      <c r="D39" s="28" t="s">
        <v>332</v>
      </c>
      <c r="E39" s="28" t="s">
        <v>884</v>
      </c>
      <c r="F39" s="29">
        <f>F36-F38</f>
        <v>0</v>
      </c>
      <c r="G39" s="76" t="s">
        <v>885</v>
      </c>
    </row>
    <row r="40" spans="1:7" x14ac:dyDescent="0.25">
      <c r="A40" s="66">
        <v>0</v>
      </c>
      <c r="B40" s="66">
        <v>1</v>
      </c>
      <c r="C40" s="25"/>
      <c r="D40" s="28" t="s">
        <v>335</v>
      </c>
      <c r="E40" s="28" t="s">
        <v>886</v>
      </c>
      <c r="F40" s="29">
        <f>F38-F41</f>
        <v>0</v>
      </c>
      <c r="G40" s="76" t="s">
        <v>887</v>
      </c>
    </row>
    <row r="41" spans="1:7" ht="15.75" thickBot="1" x14ac:dyDescent="0.3">
      <c r="A41" s="66">
        <v>0</v>
      </c>
      <c r="B41" s="66">
        <v>1</v>
      </c>
      <c r="C41" s="25"/>
      <c r="D41" s="28" t="s">
        <v>338</v>
      </c>
      <c r="E41" t="s">
        <v>888</v>
      </c>
      <c r="F41" s="58"/>
      <c r="G41" s="78"/>
    </row>
    <row r="42" spans="1:7" ht="15.75" thickBot="1" x14ac:dyDescent="0.3">
      <c r="A42" s="66">
        <v>0</v>
      </c>
      <c r="B42" s="66">
        <v>1</v>
      </c>
      <c r="E42" s="45" t="s">
        <v>2100</v>
      </c>
      <c r="F42" s="46">
        <f>IFERROR(F41/F36,0)</f>
        <v>0</v>
      </c>
      <c r="G42" s="37" t="s">
        <v>889</v>
      </c>
    </row>
    <row r="43" spans="1:7" ht="15.75" thickBot="1" x14ac:dyDescent="0.3">
      <c r="A43" s="66">
        <v>0</v>
      </c>
      <c r="B43" s="66">
        <v>1</v>
      </c>
      <c r="E43" s="45" t="s">
        <v>890</v>
      </c>
      <c r="F43" s="46">
        <f>IFERROR(F41/F38,0)</f>
        <v>0</v>
      </c>
      <c r="G43" s="37" t="s">
        <v>891</v>
      </c>
    </row>
    <row r="44" spans="1:7" ht="15.75" thickBot="1" x14ac:dyDescent="0.3">
      <c r="A44" s="66">
        <v>0</v>
      </c>
      <c r="B44" s="66">
        <v>1</v>
      </c>
      <c r="E44" s="47" t="s">
        <v>892</v>
      </c>
      <c r="F44" s="44">
        <f>IF(F37=0,0,1-F43)</f>
        <v>0</v>
      </c>
      <c r="G44" s="37" t="s">
        <v>2099</v>
      </c>
    </row>
    <row r="46" spans="1:7" s="1" customFormat="1" ht="45" customHeight="1" x14ac:dyDescent="0.25">
      <c r="A46" s="66">
        <v>0</v>
      </c>
      <c r="B46" s="66">
        <v>1</v>
      </c>
      <c r="C46" s="51"/>
      <c r="D46" s="112"/>
      <c r="E46" s="152" t="s">
        <v>2080</v>
      </c>
      <c r="F46" s="147" t="s">
        <v>2053</v>
      </c>
      <c r="G46" s="159"/>
    </row>
    <row r="47" spans="1:7" s="1" customFormat="1" x14ac:dyDescent="0.25">
      <c r="A47" s="64"/>
      <c r="B47" s="64"/>
      <c r="C47" s="112"/>
      <c r="D47" s="112"/>
      <c r="E47" s="112"/>
      <c r="F47" s="56"/>
      <c r="G47" s="150"/>
    </row>
    <row r="48" spans="1:7" ht="15" customHeight="1" x14ac:dyDescent="0.25">
      <c r="A48" s="66">
        <v>0</v>
      </c>
      <c r="B48" s="66">
        <v>1</v>
      </c>
      <c r="C48" s="146">
        <v>5.04</v>
      </c>
      <c r="D48" s="215" t="s">
        <v>205</v>
      </c>
      <c r="E48" s="215"/>
      <c r="F48" s="27" t="s">
        <v>320</v>
      </c>
      <c r="G48" s="146" t="s">
        <v>321</v>
      </c>
    </row>
    <row r="49" spans="1:7" x14ac:dyDescent="0.25">
      <c r="A49" s="66">
        <v>0</v>
      </c>
      <c r="B49" s="66">
        <v>1</v>
      </c>
      <c r="C49" s="25"/>
      <c r="D49" s="28" t="s">
        <v>322</v>
      </c>
      <c r="E49" s="28" t="s">
        <v>893</v>
      </c>
      <c r="F49" s="58"/>
      <c r="G49" s="78"/>
    </row>
    <row r="50" spans="1:7" x14ac:dyDescent="0.25">
      <c r="A50" s="66">
        <v>0</v>
      </c>
      <c r="B50" s="66">
        <v>1</v>
      </c>
      <c r="C50" s="25"/>
      <c r="D50" s="28" t="s">
        <v>327</v>
      </c>
      <c r="E50" s="28" t="s">
        <v>894</v>
      </c>
      <c r="F50" s="29">
        <f>F54-F49</f>
        <v>0</v>
      </c>
      <c r="G50" s="76" t="s">
        <v>895</v>
      </c>
    </row>
    <row r="51" spans="1:7" x14ac:dyDescent="0.25">
      <c r="A51" s="66">
        <v>0</v>
      </c>
      <c r="B51" s="66">
        <v>1</v>
      </c>
      <c r="C51" s="25"/>
      <c r="D51" s="28" t="s">
        <v>330</v>
      </c>
      <c r="E51" s="28" t="s">
        <v>896</v>
      </c>
      <c r="F51" s="58"/>
      <c r="G51" s="78"/>
    </row>
    <row r="52" spans="1:7" ht="30" x14ac:dyDescent="0.25">
      <c r="A52" s="66">
        <v>0</v>
      </c>
      <c r="B52" s="66">
        <v>1</v>
      </c>
      <c r="C52" s="25"/>
      <c r="D52" s="28" t="s">
        <v>332</v>
      </c>
      <c r="E52" s="28" t="s">
        <v>897</v>
      </c>
      <c r="F52" s="58"/>
      <c r="G52" s="78"/>
    </row>
    <row r="53" spans="1:7" ht="30" x14ac:dyDescent="0.25">
      <c r="A53" s="66">
        <v>0</v>
      </c>
      <c r="B53" s="66">
        <v>1</v>
      </c>
      <c r="C53" s="25"/>
      <c r="D53" s="28" t="s">
        <v>335</v>
      </c>
      <c r="E53" s="28" t="s">
        <v>898</v>
      </c>
      <c r="F53" s="29">
        <f>F54-F52</f>
        <v>0</v>
      </c>
      <c r="G53" s="76" t="s">
        <v>899</v>
      </c>
    </row>
    <row r="54" spans="1:7" ht="15.75" thickBot="1" x14ac:dyDescent="0.3">
      <c r="A54" s="66">
        <v>0</v>
      </c>
      <c r="B54" s="66">
        <v>1</v>
      </c>
      <c r="C54" s="25"/>
      <c r="D54" s="28" t="s">
        <v>338</v>
      </c>
      <c r="E54" s="28" t="s">
        <v>900</v>
      </c>
      <c r="F54" s="58"/>
      <c r="G54" s="78"/>
    </row>
    <row r="55" spans="1:7" ht="30.75" thickBot="1" x14ac:dyDescent="0.3">
      <c r="A55" s="66">
        <v>0</v>
      </c>
      <c r="B55" s="66">
        <v>1</v>
      </c>
      <c r="E55" s="45" t="s">
        <v>901</v>
      </c>
      <c r="F55" s="46">
        <f>IFERROR(F52/F54,0)</f>
        <v>0</v>
      </c>
      <c r="G55" s="37" t="s">
        <v>565</v>
      </c>
    </row>
    <row r="56" spans="1:7" ht="15.75" thickBot="1" x14ac:dyDescent="0.3">
      <c r="A56" s="66">
        <v>0</v>
      </c>
      <c r="B56" s="66">
        <v>1</v>
      </c>
      <c r="E56" s="45" t="s">
        <v>902</v>
      </c>
      <c r="F56" s="46">
        <f>IFERROR(F51/(F49+F51),0)</f>
        <v>0</v>
      </c>
      <c r="G56" s="37" t="s">
        <v>903</v>
      </c>
    </row>
    <row r="57" spans="1:7" ht="15.75" thickBot="1" x14ac:dyDescent="0.3">
      <c r="A57" s="66">
        <v>0</v>
      </c>
      <c r="B57" s="66">
        <v>1</v>
      </c>
      <c r="E57" s="47" t="s">
        <v>904</v>
      </c>
      <c r="F57" s="44">
        <f>IF(F5=0,0,AVERAGE(F55,(1-F56)))</f>
        <v>0</v>
      </c>
      <c r="G57" s="37" t="s">
        <v>905</v>
      </c>
    </row>
    <row r="59" spans="1:7" s="1" customFormat="1" ht="45" customHeight="1" x14ac:dyDescent="0.25">
      <c r="A59" s="66">
        <v>0</v>
      </c>
      <c r="B59" s="66">
        <v>1</v>
      </c>
      <c r="C59" s="51"/>
      <c r="D59" s="112"/>
      <c r="E59" s="152" t="s">
        <v>2080</v>
      </c>
      <c r="F59" s="147" t="s">
        <v>2053</v>
      </c>
      <c r="G59" s="159"/>
    </row>
    <row r="60" spans="1:7" s="1" customFormat="1" x14ac:dyDescent="0.25">
      <c r="A60" s="64"/>
      <c r="B60" s="64"/>
      <c r="C60" s="112"/>
      <c r="D60" s="112"/>
      <c r="E60" s="112"/>
      <c r="F60" s="56"/>
      <c r="G60" s="150"/>
    </row>
    <row r="61" spans="1:7" x14ac:dyDescent="0.25">
      <c r="A61" s="66">
        <v>9</v>
      </c>
      <c r="B61" s="66">
        <v>2</v>
      </c>
      <c r="C61" s="146">
        <v>5.05</v>
      </c>
      <c r="D61" s="215" t="s">
        <v>206</v>
      </c>
      <c r="E61" s="215"/>
      <c r="F61" s="27" t="s">
        <v>320</v>
      </c>
      <c r="G61" s="146" t="s">
        <v>321</v>
      </c>
    </row>
    <row r="62" spans="1:7" x14ac:dyDescent="0.25">
      <c r="A62" s="66">
        <v>9</v>
      </c>
      <c r="B62" s="66">
        <v>2</v>
      </c>
      <c r="C62" s="25"/>
      <c r="D62" s="28" t="s">
        <v>322</v>
      </c>
      <c r="E62" s="28" t="s">
        <v>906</v>
      </c>
      <c r="F62" s="31"/>
      <c r="G62" s="76" t="s">
        <v>402</v>
      </c>
    </row>
    <row r="63" spans="1:7" x14ac:dyDescent="0.25">
      <c r="A63" s="66">
        <v>9</v>
      </c>
      <c r="B63" s="66">
        <v>2</v>
      </c>
      <c r="C63" s="25"/>
      <c r="D63" s="28" t="s">
        <v>327</v>
      </c>
      <c r="E63" s="28" t="s">
        <v>907</v>
      </c>
      <c r="F63" s="58"/>
      <c r="G63" s="78"/>
    </row>
    <row r="64" spans="1:7" x14ac:dyDescent="0.25">
      <c r="A64" s="66">
        <v>9</v>
      </c>
      <c r="B64" s="66">
        <v>2</v>
      </c>
      <c r="C64" s="25"/>
      <c r="D64" s="28" t="s">
        <v>330</v>
      </c>
      <c r="E64" s="28" t="s">
        <v>908</v>
      </c>
      <c r="F64" s="58"/>
      <c r="G64" s="78" t="s">
        <v>909</v>
      </c>
    </row>
    <row r="65" spans="1:7" x14ac:dyDescent="0.25">
      <c r="A65" s="66">
        <v>9</v>
      </c>
      <c r="B65" s="66">
        <v>2</v>
      </c>
      <c r="C65" s="25"/>
      <c r="D65" s="28" t="s">
        <v>332</v>
      </c>
      <c r="E65" s="28" t="s">
        <v>910</v>
      </c>
      <c r="F65" s="58"/>
      <c r="G65" s="78"/>
    </row>
    <row r="66" spans="1:7" x14ac:dyDescent="0.25">
      <c r="A66" s="66">
        <v>9</v>
      </c>
      <c r="B66" s="66">
        <v>2</v>
      </c>
      <c r="C66" s="25"/>
      <c r="D66" s="28" t="s">
        <v>335</v>
      </c>
      <c r="E66" s="28" t="s">
        <v>911</v>
      </c>
      <c r="F66" s="29">
        <f>F64-F65</f>
        <v>0</v>
      </c>
      <c r="G66" s="76" t="s">
        <v>912</v>
      </c>
    </row>
    <row r="67" spans="1:7" x14ac:dyDescent="0.25">
      <c r="A67" s="66">
        <v>9</v>
      </c>
      <c r="B67" s="66">
        <v>2</v>
      </c>
      <c r="C67" s="25"/>
      <c r="D67" s="28" t="s">
        <v>338</v>
      </c>
      <c r="E67" s="28" t="s">
        <v>913</v>
      </c>
      <c r="F67" s="58"/>
      <c r="G67" s="78"/>
    </row>
    <row r="68" spans="1:7" x14ac:dyDescent="0.25">
      <c r="A68" s="66">
        <v>9</v>
      </c>
      <c r="B68" s="66">
        <v>2</v>
      </c>
      <c r="C68" s="25"/>
      <c r="D68" s="28" t="s">
        <v>341</v>
      </c>
      <c r="E68" s="28" t="s">
        <v>914</v>
      </c>
      <c r="F68" s="58"/>
      <c r="G68" s="78"/>
    </row>
    <row r="69" spans="1:7" x14ac:dyDescent="0.25">
      <c r="A69" s="66">
        <v>9</v>
      </c>
      <c r="B69" s="66">
        <v>2</v>
      </c>
      <c r="C69" s="25"/>
      <c r="D69" s="28" t="s">
        <v>344</v>
      </c>
      <c r="E69" s="28" t="s">
        <v>915</v>
      </c>
      <c r="F69" s="29">
        <f>F67-F68</f>
        <v>0</v>
      </c>
      <c r="G69" s="76" t="s">
        <v>857</v>
      </c>
    </row>
    <row r="70" spans="1:7" ht="15.75" thickBot="1" x14ac:dyDescent="0.3">
      <c r="A70" s="66">
        <v>9</v>
      </c>
      <c r="B70" s="66">
        <v>2</v>
      </c>
      <c r="D70" s="28" t="s">
        <v>522</v>
      </c>
      <c r="E70" s="28" t="s">
        <v>916</v>
      </c>
      <c r="F70" s="58"/>
      <c r="G70" s="78"/>
    </row>
    <row r="71" spans="1:7" ht="15.75" thickBot="1" x14ac:dyDescent="0.3">
      <c r="A71" s="66">
        <v>9</v>
      </c>
      <c r="B71" s="66">
        <v>2</v>
      </c>
      <c r="E71" s="45" t="s">
        <v>917</v>
      </c>
      <c r="F71" s="46">
        <f>IFERROR(F64/(F63*3),0)</f>
        <v>0</v>
      </c>
      <c r="G71" s="37" t="s">
        <v>918</v>
      </c>
    </row>
    <row r="72" spans="1:7" ht="15.75" thickBot="1" x14ac:dyDescent="0.3">
      <c r="A72" s="66">
        <v>9</v>
      </c>
      <c r="B72" s="66">
        <v>2</v>
      </c>
      <c r="E72" s="47" t="s">
        <v>919</v>
      </c>
      <c r="F72" s="44">
        <f>IF(F70&lt;=12,F71,IF(GlobalSettings!$C$12="No",0,F71*0.5))</f>
        <v>0</v>
      </c>
      <c r="G72" s="37" t="s">
        <v>2068</v>
      </c>
    </row>
    <row r="74" spans="1:7" s="1" customFormat="1" ht="45" customHeight="1" x14ac:dyDescent="0.25">
      <c r="A74" s="66">
        <v>9</v>
      </c>
      <c r="B74" s="66">
        <v>2</v>
      </c>
      <c r="C74" s="51"/>
      <c r="D74" s="112"/>
      <c r="E74" s="152" t="s">
        <v>2080</v>
      </c>
      <c r="F74" s="147" t="s">
        <v>2053</v>
      </c>
      <c r="G74" s="159"/>
    </row>
    <row r="75" spans="1:7" s="1" customFormat="1" x14ac:dyDescent="0.25">
      <c r="A75" s="64"/>
      <c r="B75" s="64"/>
      <c r="C75" s="112"/>
      <c r="D75" s="112"/>
      <c r="E75" s="112"/>
      <c r="F75" s="56"/>
      <c r="G75" s="150"/>
    </row>
    <row r="76" spans="1:7" x14ac:dyDescent="0.25">
      <c r="A76" s="66">
        <v>9</v>
      </c>
      <c r="B76" s="66">
        <v>2</v>
      </c>
      <c r="C76" s="146">
        <v>5.0599999999999996</v>
      </c>
      <c r="D76" s="215" t="s">
        <v>548</v>
      </c>
      <c r="E76" s="215"/>
      <c r="F76" s="27" t="s">
        <v>320</v>
      </c>
      <c r="G76" s="146" t="s">
        <v>321</v>
      </c>
    </row>
    <row r="77" spans="1:7" x14ac:dyDescent="0.25">
      <c r="A77" s="66">
        <v>9</v>
      </c>
      <c r="B77" s="66">
        <v>2</v>
      </c>
      <c r="C77" s="25"/>
      <c r="D77" s="28" t="s">
        <v>322</v>
      </c>
      <c r="E77" s="28" t="s">
        <v>920</v>
      </c>
      <c r="F77" s="58"/>
      <c r="G77" s="78"/>
    </row>
    <row r="78" spans="1:7" x14ac:dyDescent="0.25">
      <c r="A78" s="66">
        <v>9</v>
      </c>
      <c r="B78" s="66">
        <v>2</v>
      </c>
      <c r="C78" s="25"/>
      <c r="D78" s="28" t="s">
        <v>327</v>
      </c>
      <c r="E78" s="28" t="s">
        <v>921</v>
      </c>
      <c r="F78" s="29">
        <f>F77-F79</f>
        <v>0</v>
      </c>
      <c r="G78" s="76" t="s">
        <v>885</v>
      </c>
    </row>
    <row r="79" spans="1:7" ht="15.75" thickBot="1" x14ac:dyDescent="0.3">
      <c r="A79" s="66">
        <v>9</v>
      </c>
      <c r="B79" s="66">
        <v>2</v>
      </c>
      <c r="C79" s="25"/>
      <c r="D79" s="28" t="s">
        <v>330</v>
      </c>
      <c r="E79" s="28" t="s">
        <v>922</v>
      </c>
      <c r="F79" s="58"/>
      <c r="G79" s="78"/>
    </row>
    <row r="80" spans="1:7" ht="15.75" thickBot="1" x14ac:dyDescent="0.3">
      <c r="A80" s="66">
        <v>9</v>
      </c>
      <c r="B80" s="66">
        <v>2</v>
      </c>
      <c r="E80" s="45" t="s">
        <v>923</v>
      </c>
      <c r="F80" s="46">
        <f>IFERROR(F79/F77,0)</f>
        <v>0</v>
      </c>
      <c r="G80" s="37" t="s">
        <v>436</v>
      </c>
    </row>
    <row r="81" spans="1:7" ht="15.75" thickBot="1" x14ac:dyDescent="0.3">
      <c r="A81" s="66">
        <v>9</v>
      </c>
      <c r="B81" s="66">
        <v>2</v>
      </c>
      <c r="E81" s="47" t="s">
        <v>924</v>
      </c>
      <c r="F81" s="44">
        <f>F80</f>
        <v>0</v>
      </c>
      <c r="G81" s="37"/>
    </row>
    <row r="83" spans="1:7" s="1" customFormat="1" ht="45" customHeight="1" x14ac:dyDescent="0.25">
      <c r="A83" s="66">
        <v>9</v>
      </c>
      <c r="B83" s="66">
        <v>2</v>
      </c>
      <c r="C83" s="51"/>
      <c r="D83" s="112"/>
      <c r="E83" s="152" t="s">
        <v>2080</v>
      </c>
      <c r="F83" s="147" t="s">
        <v>2053</v>
      </c>
      <c r="G83" s="159"/>
    </row>
    <row r="84" spans="1:7" s="1" customFormat="1" x14ac:dyDescent="0.25">
      <c r="A84" s="64"/>
      <c r="B84" s="64"/>
      <c r="C84" s="112"/>
      <c r="D84" s="112"/>
      <c r="E84" s="112"/>
      <c r="F84" s="56"/>
      <c r="G84" s="150"/>
    </row>
  </sheetData>
  <sheetProtection algorithmName="SHA-512" hashValue="YadNgjScVP+zb593P+wxz5RA77GZrso3fA8vGTrHf0OGWUNxlRF/yq4q2J6lkAAL6ovQBf78onYqiwpiidM7Qw==" saltValue="jpygX33+2YJRlcPqYPvhkw==" spinCount="100000" sheet="1" formatRows="0" selectLockedCells="1"/>
  <mergeCells count="7">
    <mergeCell ref="D61:E61"/>
    <mergeCell ref="D76:E76"/>
    <mergeCell ref="C2:E2"/>
    <mergeCell ref="D4:E4"/>
    <mergeCell ref="D20:E20"/>
    <mergeCell ref="D35:E35"/>
    <mergeCell ref="D48:E48"/>
  </mergeCells>
  <conditionalFormatting sqref="E1:E47 E49:E1048576">
    <cfRule type="containsText" dxfId="45" priority="4" operator="containsText" text="Safeguard Scoring Complete">
      <formula>NOT(ISERROR(SEARCH("Safeguard Scoring Complete",E1)))</formula>
    </cfRule>
    <cfRule type="containsText" dxfId="44" priority="11" operator="containsText" text="Safeguard Scoring Incomplete">
      <formula>NOT(ISERROR(SEARCH("Safeguard Scoring Incomplete",E1)))</formula>
    </cfRule>
  </conditionalFormatting>
  <conditionalFormatting sqref="E48">
    <cfRule type="containsText" dxfId="43" priority="1" operator="containsText" text="Safeguard Scoring Complete">
      <formula>NOT(ISERROR(SEARCH("Safeguard Scoring Complete",E48)))</formula>
    </cfRule>
    <cfRule type="containsText" dxfId="42" priority="2" operator="containsText" text="Safeguard Scoring Incomplete">
      <formula>NOT(ISERROR(SEARCH("Safeguard Scoring Incomplete",E48)))</formula>
    </cfRule>
  </conditionalFormatting>
  <dataValidations count="3">
    <dataValidation type="list" allowBlank="1" showInputMessage="1" showErrorMessage="1" sqref="F22 F62 F28:F29" xr:uid="{43C4B457-275C-4041-A28B-7B8650082C9F}">
      <formula1>"0,1"</formula1>
    </dataValidation>
    <dataValidation type="list" allowBlank="1" showInputMessage="1" showErrorMessage="1" sqref="F2" xr:uid="{EFBA3CF9-596A-45D2-81C8-CEBD70DB510E}">
      <formula1>"Assessed,Not Assessed"</formula1>
    </dataValidation>
    <dataValidation type="list" allowBlank="1" showInputMessage="1" showErrorMessage="1" sqref="E18 E33 E46 E59 E74 E83" xr:uid="{CC819700-0950-4B17-BE42-FB161C62052D}">
      <formula1>"Safeguard Scoring Complete,Safeguard Scoring Incomplete"</formula1>
    </dataValidation>
  </dataValidations>
  <hyperlinks>
    <hyperlink ref="G2" r:id="rId1" xr:uid="{505C3B92-DA6D-4CF2-AF2E-AD0EFE10422B}"/>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3" id="{B5F86BFC-F33C-449D-871E-5DD8138A2429}">
            <xm:f>AND($A1&lt;&gt;GlobalSettings!$C$2,$B1&gt;GlobalSettings!$C$2)</xm:f>
            <x14:dxf>
              <font>
                <color theme="0" tint="-0.24994659260841701"/>
              </font>
              <fill>
                <patternFill>
                  <bgColor theme="0" tint="-0.499984740745262"/>
                </patternFill>
              </fill>
            </x14:dxf>
          </x14:cfRule>
          <xm:sqref>C1:G47 C48 F48:G48 C49:G1048576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F38C6-60A8-47D8-8B3F-EA4B5A6CFAB3}">
  <sheetPr codeName="Sheet9"/>
  <dimension ref="A2:G85"/>
  <sheetViews>
    <sheetView showGridLines="0" topLeftCell="A20" workbookViewId="0">
      <selection activeCell="G36" sqref="G36"/>
    </sheetView>
  </sheetViews>
  <sheetFormatPr defaultColWidth="9.140625" defaultRowHeight="15.75" customHeight="1" x14ac:dyDescent="0.25"/>
  <cols>
    <col min="1" max="2" width="2.7109375" style="66" customWidth="1"/>
    <col min="3" max="4" width="5.7109375" style="51" customWidth="1"/>
    <col min="5" max="5" width="90.7109375" style="51" customWidth="1"/>
    <col min="6" max="6" width="15.7109375" style="56" customWidth="1"/>
    <col min="7" max="7" width="120.7109375" style="25" customWidth="1"/>
    <col min="8" max="16384" width="9.140625" style="51"/>
  </cols>
  <sheetData>
    <row r="2" spans="1:7" ht="15.75" customHeight="1" x14ac:dyDescent="0.25">
      <c r="C2" s="214" t="s">
        <v>925</v>
      </c>
      <c r="D2" s="214"/>
      <c r="E2" s="214"/>
      <c r="F2" s="100" t="s">
        <v>318</v>
      </c>
      <c r="G2" s="208" t="s">
        <v>2190</v>
      </c>
    </row>
    <row r="4" spans="1:7" ht="15.75" customHeight="1" x14ac:dyDescent="0.25">
      <c r="A4" s="66">
        <v>0</v>
      </c>
      <c r="B4" s="66">
        <v>1</v>
      </c>
      <c r="C4" s="146">
        <v>6.01</v>
      </c>
      <c r="D4" s="215" t="s">
        <v>208</v>
      </c>
      <c r="E4" s="215"/>
      <c r="F4" s="27" t="s">
        <v>320</v>
      </c>
      <c r="G4" s="146" t="s">
        <v>321</v>
      </c>
    </row>
    <row r="5" spans="1:7" ht="15.75" customHeight="1" x14ac:dyDescent="0.25">
      <c r="A5" s="66">
        <v>0</v>
      </c>
      <c r="B5" s="66">
        <v>1</v>
      </c>
      <c r="C5" s="25"/>
      <c r="D5" s="28" t="s">
        <v>322</v>
      </c>
      <c r="E5" s="28" t="s">
        <v>926</v>
      </c>
      <c r="F5" s="57">
        <f>IF(Artifacts!$E$43="Artifact Provided",1,0)</f>
        <v>0</v>
      </c>
      <c r="G5" s="76" t="s">
        <v>324</v>
      </c>
    </row>
    <row r="6" spans="1:7" ht="15.75" customHeight="1" x14ac:dyDescent="0.25">
      <c r="A6" s="66">
        <v>0</v>
      </c>
      <c r="B6" s="66">
        <v>1</v>
      </c>
      <c r="C6" s="25"/>
      <c r="D6" s="28" t="s">
        <v>400</v>
      </c>
      <c r="E6" s="68" t="s">
        <v>927</v>
      </c>
      <c r="F6" s="31"/>
      <c r="G6" s="76" t="s">
        <v>402</v>
      </c>
    </row>
    <row r="7" spans="1:7" ht="15.75" customHeight="1" x14ac:dyDescent="0.25">
      <c r="A7" s="66">
        <v>0</v>
      </c>
      <c r="B7" s="66">
        <v>1</v>
      </c>
      <c r="C7" s="25"/>
      <c r="D7" s="28" t="s">
        <v>403</v>
      </c>
      <c r="E7" s="68" t="s">
        <v>928</v>
      </c>
      <c r="F7" s="31"/>
      <c r="G7" s="76" t="s">
        <v>402</v>
      </c>
    </row>
    <row r="8" spans="1:7" ht="15.75" customHeight="1" thickBot="1" x14ac:dyDescent="0.3">
      <c r="A8" s="66">
        <v>0</v>
      </c>
      <c r="B8" s="66">
        <v>1</v>
      </c>
      <c r="C8" s="25"/>
      <c r="D8" s="28" t="s">
        <v>405</v>
      </c>
      <c r="E8" s="68" t="s">
        <v>2113</v>
      </c>
      <c r="F8" s="31"/>
      <c r="G8" s="76" t="s">
        <v>402</v>
      </c>
    </row>
    <row r="9" spans="1:7" ht="15.75" customHeight="1" thickBot="1" x14ac:dyDescent="0.3">
      <c r="A9" s="66">
        <v>0</v>
      </c>
      <c r="B9" s="66">
        <v>1</v>
      </c>
      <c r="E9" s="45" t="s">
        <v>929</v>
      </c>
      <c r="F9" s="46">
        <f>SUM(F6:F8)/3</f>
        <v>0</v>
      </c>
      <c r="G9" s="37" t="s">
        <v>930</v>
      </c>
    </row>
    <row r="10" spans="1:7" ht="15.75" customHeight="1" thickBot="1" x14ac:dyDescent="0.3">
      <c r="A10" s="66">
        <v>0</v>
      </c>
      <c r="B10" s="66">
        <v>1</v>
      </c>
      <c r="E10" s="47" t="s">
        <v>931</v>
      </c>
      <c r="F10" s="44">
        <f>IF(F5=0,0,F9)</f>
        <v>0</v>
      </c>
      <c r="G10" s="37" t="s">
        <v>932</v>
      </c>
    </row>
    <row r="12" spans="1:7" s="1" customFormat="1" ht="45" customHeight="1" x14ac:dyDescent="0.25">
      <c r="A12" s="66">
        <v>0</v>
      </c>
      <c r="B12" s="66">
        <v>1</v>
      </c>
      <c r="C12" s="51"/>
      <c r="D12" s="112"/>
      <c r="E12" s="152" t="s">
        <v>2080</v>
      </c>
      <c r="F12" s="147" t="s">
        <v>2053</v>
      </c>
      <c r="G12" s="159"/>
    </row>
    <row r="13" spans="1:7" s="1" customFormat="1" ht="15" x14ac:dyDescent="0.25">
      <c r="A13" s="64"/>
      <c r="B13" s="64"/>
      <c r="C13" s="112"/>
      <c r="D13" s="112"/>
      <c r="E13" s="112"/>
      <c r="F13" s="56"/>
      <c r="G13" s="150"/>
    </row>
    <row r="14" spans="1:7" ht="15.75" customHeight="1" x14ac:dyDescent="0.25">
      <c r="A14" s="66">
        <v>0</v>
      </c>
      <c r="B14" s="66">
        <v>1</v>
      </c>
      <c r="C14" s="146">
        <v>6.02</v>
      </c>
      <c r="D14" s="215" t="s">
        <v>209</v>
      </c>
      <c r="E14" s="215"/>
      <c r="F14" s="27" t="s">
        <v>320</v>
      </c>
      <c r="G14" s="146" t="s">
        <v>321</v>
      </c>
    </row>
    <row r="15" spans="1:7" ht="15.75" customHeight="1" x14ac:dyDescent="0.25">
      <c r="A15" s="66">
        <v>0</v>
      </c>
      <c r="B15" s="66">
        <v>1</v>
      </c>
      <c r="C15" s="25"/>
      <c r="D15" s="28" t="s">
        <v>322</v>
      </c>
      <c r="E15" s="28" t="s">
        <v>933</v>
      </c>
      <c r="F15" s="57">
        <f>IF(Artifacts!$E$44="Artifact Provided",1,0)</f>
        <v>0</v>
      </c>
      <c r="G15" s="76" t="s">
        <v>324</v>
      </c>
    </row>
    <row r="16" spans="1:7" ht="15.75" customHeight="1" x14ac:dyDescent="0.25">
      <c r="A16" s="66">
        <v>0</v>
      </c>
      <c r="B16" s="66">
        <v>1</v>
      </c>
      <c r="C16" s="25"/>
      <c r="D16" s="28" t="s">
        <v>400</v>
      </c>
      <c r="E16" s="68" t="s">
        <v>934</v>
      </c>
      <c r="F16" s="31"/>
      <c r="G16" s="76" t="s">
        <v>402</v>
      </c>
    </row>
    <row r="17" spans="1:7" ht="15.75" customHeight="1" x14ac:dyDescent="0.25">
      <c r="A17" s="66">
        <v>0</v>
      </c>
      <c r="B17" s="66">
        <v>1</v>
      </c>
      <c r="C17" s="25"/>
      <c r="D17" s="28" t="s">
        <v>403</v>
      </c>
      <c r="E17" s="68" t="s">
        <v>935</v>
      </c>
      <c r="F17" s="31"/>
      <c r="G17" s="76" t="s">
        <v>402</v>
      </c>
    </row>
    <row r="18" spans="1:7" ht="15.75" customHeight="1" thickBot="1" x14ac:dyDescent="0.3">
      <c r="A18" s="66">
        <v>0</v>
      </c>
      <c r="B18" s="66">
        <v>1</v>
      </c>
      <c r="C18" s="25"/>
      <c r="D18" s="28" t="s">
        <v>405</v>
      </c>
      <c r="E18" s="68" t="s">
        <v>2114</v>
      </c>
      <c r="F18" s="31"/>
      <c r="G18" s="76" t="s">
        <v>402</v>
      </c>
    </row>
    <row r="19" spans="1:7" ht="15.75" customHeight="1" thickBot="1" x14ac:dyDescent="0.3">
      <c r="A19" s="66">
        <v>0</v>
      </c>
      <c r="B19" s="66">
        <v>1</v>
      </c>
      <c r="E19" s="45" t="s">
        <v>929</v>
      </c>
      <c r="F19" s="46">
        <f>SUM(F16:F18)/3</f>
        <v>0</v>
      </c>
      <c r="G19" s="37" t="s">
        <v>930</v>
      </c>
    </row>
    <row r="20" spans="1:7" ht="15.75" customHeight="1" thickBot="1" x14ac:dyDescent="0.3">
      <c r="A20" s="66">
        <v>0</v>
      </c>
      <c r="B20" s="66">
        <v>1</v>
      </c>
      <c r="E20" s="47" t="s">
        <v>936</v>
      </c>
      <c r="F20" s="44">
        <f>IF(F15=0,0,F19)</f>
        <v>0</v>
      </c>
      <c r="G20" s="37" t="s">
        <v>932</v>
      </c>
    </row>
    <row r="22" spans="1:7" s="1" customFormat="1" ht="45" customHeight="1" x14ac:dyDescent="0.25">
      <c r="A22" s="66">
        <v>0</v>
      </c>
      <c r="B22" s="66">
        <v>1</v>
      </c>
      <c r="C22" s="112"/>
      <c r="D22" s="112"/>
      <c r="E22" s="152" t="s">
        <v>2080</v>
      </c>
      <c r="F22" s="147" t="s">
        <v>2053</v>
      </c>
      <c r="G22" s="159"/>
    </row>
    <row r="23" spans="1:7" s="1" customFormat="1" ht="15" x14ac:dyDescent="0.25">
      <c r="A23" s="64"/>
      <c r="B23" s="64"/>
      <c r="C23" s="112"/>
      <c r="D23" s="112"/>
      <c r="E23" s="112"/>
      <c r="F23" s="56"/>
      <c r="G23" s="150"/>
    </row>
    <row r="24" spans="1:7" ht="15.75" customHeight="1" x14ac:dyDescent="0.25">
      <c r="A24" s="66">
        <v>9</v>
      </c>
      <c r="B24" s="66">
        <v>1</v>
      </c>
      <c r="C24" s="146">
        <v>6.03</v>
      </c>
      <c r="D24" s="215" t="s">
        <v>210</v>
      </c>
      <c r="E24" s="215"/>
      <c r="F24" s="27" t="s">
        <v>320</v>
      </c>
      <c r="G24" s="146" t="s">
        <v>321</v>
      </c>
    </row>
    <row r="25" spans="1:7" ht="30" x14ac:dyDescent="0.25">
      <c r="A25" s="66">
        <v>9</v>
      </c>
      <c r="B25" s="66">
        <v>1</v>
      </c>
      <c r="C25" s="25"/>
      <c r="D25" s="28" t="s">
        <v>322</v>
      </c>
      <c r="E25" s="28" t="s">
        <v>937</v>
      </c>
      <c r="F25" s="31"/>
      <c r="G25" s="32" t="s">
        <v>938</v>
      </c>
    </row>
    <row r="26" spans="1:7" ht="15.75" customHeight="1" x14ac:dyDescent="0.25">
      <c r="A26" s="66">
        <v>9</v>
      </c>
      <c r="B26" s="66">
        <v>1</v>
      </c>
      <c r="C26" s="25"/>
      <c r="D26" s="28" t="s">
        <v>327</v>
      </c>
      <c r="E26" s="28" t="s">
        <v>939</v>
      </c>
      <c r="F26" s="31"/>
      <c r="G26" s="32" t="s">
        <v>940</v>
      </c>
    </row>
    <row r="27" spans="1:7" ht="15.75" customHeight="1" thickBot="1" x14ac:dyDescent="0.3">
      <c r="A27" s="66">
        <v>9</v>
      </c>
      <c r="B27" s="66">
        <v>1</v>
      </c>
      <c r="C27" s="25"/>
      <c r="D27" s="28" t="s">
        <v>330</v>
      </c>
      <c r="E27" s="28" t="s">
        <v>941</v>
      </c>
      <c r="F27" s="29">
        <f>F25-F26</f>
        <v>0</v>
      </c>
      <c r="G27" s="30" t="s">
        <v>942</v>
      </c>
    </row>
    <row r="28" spans="1:7" ht="30.75" thickBot="1" x14ac:dyDescent="0.3">
      <c r="A28" s="66">
        <v>9</v>
      </c>
      <c r="B28" s="66">
        <v>1</v>
      </c>
      <c r="E28" s="45" t="s">
        <v>943</v>
      </c>
      <c r="F28" s="46">
        <f>IFERROR(F26/F25,0)</f>
        <v>0</v>
      </c>
      <c r="G28" s="37" t="s">
        <v>378</v>
      </c>
    </row>
    <row r="29" spans="1:7" ht="15.75" customHeight="1" thickBot="1" x14ac:dyDescent="0.3">
      <c r="A29" s="66">
        <v>9</v>
      </c>
      <c r="B29" s="66">
        <v>1</v>
      </c>
      <c r="E29" s="47" t="s">
        <v>944</v>
      </c>
      <c r="F29" s="44">
        <f>F28</f>
        <v>0</v>
      </c>
      <c r="G29" s="37"/>
    </row>
    <row r="31" spans="1:7" s="1" customFormat="1" ht="45" customHeight="1" x14ac:dyDescent="0.25">
      <c r="A31" s="66">
        <v>9</v>
      </c>
      <c r="B31" s="66">
        <v>1</v>
      </c>
      <c r="C31" s="51"/>
      <c r="D31" s="112"/>
      <c r="E31" s="152" t="s">
        <v>2080</v>
      </c>
      <c r="F31" s="147" t="s">
        <v>2053</v>
      </c>
      <c r="G31" s="159"/>
    </row>
    <row r="32" spans="1:7" s="1" customFormat="1" ht="15" x14ac:dyDescent="0.25">
      <c r="A32" s="64"/>
      <c r="B32" s="64"/>
      <c r="C32" s="112"/>
      <c r="D32" s="112"/>
      <c r="E32" s="112"/>
      <c r="F32" s="56"/>
      <c r="G32" s="150"/>
    </row>
    <row r="33" spans="1:7" ht="15.75" customHeight="1" x14ac:dyDescent="0.25">
      <c r="A33" s="66">
        <v>0</v>
      </c>
      <c r="B33" s="66">
        <v>1</v>
      </c>
      <c r="C33" s="146">
        <v>6.04</v>
      </c>
      <c r="D33" s="215" t="s">
        <v>211</v>
      </c>
      <c r="E33" s="215"/>
      <c r="F33" s="27" t="s">
        <v>320</v>
      </c>
      <c r="G33" s="146" t="s">
        <v>321</v>
      </c>
    </row>
    <row r="34" spans="1:7" ht="15.75" customHeight="1" x14ac:dyDescent="0.25">
      <c r="A34" s="66">
        <v>0</v>
      </c>
      <c r="B34" s="66">
        <v>1</v>
      </c>
      <c r="C34" s="25"/>
      <c r="D34" s="28"/>
      <c r="E34" s="28" t="s">
        <v>945</v>
      </c>
      <c r="F34" s="57">
        <f>IF(Artifacts!$E$11="Artifact Provided",1,0)</f>
        <v>0</v>
      </c>
      <c r="G34" s="76" t="s">
        <v>324</v>
      </c>
    </row>
    <row r="35" spans="1:7" ht="15.75" customHeight="1" x14ac:dyDescent="0.25">
      <c r="A35" s="66">
        <v>0</v>
      </c>
      <c r="B35" s="66">
        <v>1</v>
      </c>
      <c r="C35" s="25"/>
      <c r="D35" s="28" t="s">
        <v>322</v>
      </c>
      <c r="E35" s="28" t="s">
        <v>2092</v>
      </c>
      <c r="F35" s="31"/>
      <c r="G35" s="32"/>
    </row>
    <row r="36" spans="1:7" ht="15.75" customHeight="1" x14ac:dyDescent="0.25">
      <c r="A36" s="66">
        <v>0</v>
      </c>
      <c r="B36" s="66">
        <v>1</v>
      </c>
      <c r="C36" s="25"/>
      <c r="D36" s="28" t="s">
        <v>327</v>
      </c>
      <c r="E36" s="28" t="s">
        <v>2093</v>
      </c>
      <c r="F36" s="31"/>
      <c r="G36" s="32"/>
    </row>
    <row r="37" spans="1:7" ht="15.75" customHeight="1" thickBot="1" x14ac:dyDescent="0.3">
      <c r="A37" s="66">
        <v>0</v>
      </c>
      <c r="B37" s="66">
        <v>1</v>
      </c>
      <c r="C37" s="25"/>
      <c r="D37" s="28" t="s">
        <v>330</v>
      </c>
      <c r="E37" t="s">
        <v>2094</v>
      </c>
      <c r="F37" s="29">
        <f>F35-F36</f>
        <v>0</v>
      </c>
      <c r="G37" s="77" t="s">
        <v>754</v>
      </c>
    </row>
    <row r="38" spans="1:7" ht="15.75" customHeight="1" thickBot="1" x14ac:dyDescent="0.3">
      <c r="A38" s="66">
        <v>0</v>
      </c>
      <c r="B38" s="66">
        <v>1</v>
      </c>
      <c r="E38" s="45" t="s">
        <v>946</v>
      </c>
      <c r="F38" s="46">
        <f>IFERROR(F36/F35,0)</f>
        <v>0</v>
      </c>
      <c r="G38" s="37" t="s">
        <v>378</v>
      </c>
    </row>
    <row r="39" spans="1:7" ht="15.75" customHeight="1" thickBot="1" x14ac:dyDescent="0.3">
      <c r="A39" s="66">
        <v>0</v>
      </c>
      <c r="B39" s="66">
        <v>1</v>
      </c>
      <c r="E39" s="47" t="s">
        <v>947</v>
      </c>
      <c r="F39" s="44">
        <f>IF(F34=0,0,F36/F35)</f>
        <v>0</v>
      </c>
      <c r="G39" s="37" t="s">
        <v>948</v>
      </c>
    </row>
    <row r="41" spans="1:7" s="1" customFormat="1" ht="45" customHeight="1" x14ac:dyDescent="0.25">
      <c r="A41" s="66">
        <v>0</v>
      </c>
      <c r="B41" s="66">
        <v>1</v>
      </c>
      <c r="C41" s="51"/>
      <c r="D41" s="112"/>
      <c r="E41" s="152" t="s">
        <v>2080</v>
      </c>
      <c r="F41" s="147" t="s">
        <v>2053</v>
      </c>
      <c r="G41" s="159"/>
    </row>
    <row r="42" spans="1:7" s="1" customFormat="1" ht="15" x14ac:dyDescent="0.25">
      <c r="A42" s="64"/>
      <c r="B42" s="64"/>
      <c r="C42" s="112"/>
      <c r="D42" s="112"/>
      <c r="E42" s="112"/>
      <c r="F42" s="56"/>
      <c r="G42" s="150"/>
    </row>
    <row r="43" spans="1:7" ht="15.75" customHeight="1" x14ac:dyDescent="0.25">
      <c r="A43" s="66">
        <v>0</v>
      </c>
      <c r="B43" s="66">
        <v>1</v>
      </c>
      <c r="C43" s="146">
        <v>6.05</v>
      </c>
      <c r="D43" s="215" t="s">
        <v>212</v>
      </c>
      <c r="E43" s="215"/>
      <c r="F43" s="27" t="s">
        <v>320</v>
      </c>
      <c r="G43" s="146" t="s">
        <v>321</v>
      </c>
    </row>
    <row r="44" spans="1:7" ht="15.75" customHeight="1" x14ac:dyDescent="0.25">
      <c r="A44" s="66">
        <v>0</v>
      </c>
      <c r="B44" s="66">
        <v>1</v>
      </c>
      <c r="C44" s="25"/>
      <c r="D44" s="28"/>
      <c r="E44" s="28" t="s">
        <v>949</v>
      </c>
      <c r="F44" s="57">
        <f>IF(Artifacts!$E$11="Artifact Provided",1,0)</f>
        <v>0</v>
      </c>
      <c r="G44" s="76" t="s">
        <v>324</v>
      </c>
    </row>
    <row r="45" spans="1:7" ht="15.75" customHeight="1" x14ac:dyDescent="0.25">
      <c r="A45" s="66">
        <v>0</v>
      </c>
      <c r="B45" s="66">
        <v>1</v>
      </c>
      <c r="C45" s="25"/>
      <c r="D45" s="28" t="s">
        <v>322</v>
      </c>
      <c r="E45" s="28" t="s">
        <v>950</v>
      </c>
      <c r="F45" s="31"/>
      <c r="G45" s="32"/>
    </row>
    <row r="46" spans="1:7" ht="15.75" customHeight="1" x14ac:dyDescent="0.25">
      <c r="A46" s="66">
        <v>0</v>
      </c>
      <c r="B46" s="66">
        <v>1</v>
      </c>
      <c r="C46" s="25"/>
      <c r="D46" s="28" t="s">
        <v>327</v>
      </c>
      <c r="E46" s="28" t="s">
        <v>951</v>
      </c>
      <c r="F46" s="31"/>
      <c r="G46" s="32"/>
    </row>
    <row r="47" spans="1:7" ht="15.75" customHeight="1" thickBot="1" x14ac:dyDescent="0.3">
      <c r="A47" s="66">
        <v>0</v>
      </c>
      <c r="B47" s="66">
        <v>1</v>
      </c>
      <c r="C47" s="25"/>
      <c r="D47" s="28" t="s">
        <v>330</v>
      </c>
      <c r="E47" t="s">
        <v>952</v>
      </c>
      <c r="F47" s="29">
        <f>F45-F46</f>
        <v>0</v>
      </c>
      <c r="G47" s="77" t="s">
        <v>754</v>
      </c>
    </row>
    <row r="48" spans="1:7" ht="15.75" customHeight="1" thickBot="1" x14ac:dyDescent="0.3">
      <c r="A48" s="66">
        <v>0</v>
      </c>
      <c r="B48" s="66">
        <v>1</v>
      </c>
      <c r="E48" s="45" t="s">
        <v>953</v>
      </c>
      <c r="F48" s="46">
        <f>IFERROR(F46/F45,0)</f>
        <v>0</v>
      </c>
      <c r="G48" s="37" t="s">
        <v>378</v>
      </c>
    </row>
    <row r="49" spans="1:7" ht="15.75" customHeight="1" thickBot="1" x14ac:dyDescent="0.3">
      <c r="A49" s="66">
        <v>0</v>
      </c>
      <c r="B49" s="66">
        <v>1</v>
      </c>
      <c r="E49" s="47" t="s">
        <v>954</v>
      </c>
      <c r="F49" s="44">
        <f>IF(F44=0,0,F46/F45)</f>
        <v>0</v>
      </c>
      <c r="G49" s="37" t="s">
        <v>948</v>
      </c>
    </row>
    <row r="51" spans="1:7" s="1" customFormat="1" ht="45" customHeight="1" x14ac:dyDescent="0.25">
      <c r="A51" s="66">
        <v>0</v>
      </c>
      <c r="B51" s="66">
        <v>1</v>
      </c>
      <c r="C51" s="51"/>
      <c r="D51" s="112"/>
      <c r="E51" s="152" t="s">
        <v>2080</v>
      </c>
      <c r="F51" s="147" t="s">
        <v>2053</v>
      </c>
      <c r="G51" s="159"/>
    </row>
    <row r="52" spans="1:7" s="1" customFormat="1" ht="15" x14ac:dyDescent="0.25">
      <c r="A52" s="64"/>
      <c r="B52" s="64"/>
      <c r="C52" s="112"/>
      <c r="D52" s="112"/>
      <c r="E52" s="112"/>
      <c r="F52" s="56"/>
      <c r="G52" s="150"/>
    </row>
    <row r="53" spans="1:7" ht="15.75" customHeight="1" x14ac:dyDescent="0.25">
      <c r="A53" s="66">
        <v>9</v>
      </c>
      <c r="B53" s="66">
        <v>2</v>
      </c>
      <c r="C53" s="146">
        <v>6.06</v>
      </c>
      <c r="D53" s="215" t="s">
        <v>213</v>
      </c>
      <c r="E53" s="215"/>
      <c r="F53" s="27" t="s">
        <v>320</v>
      </c>
      <c r="G53" s="146" t="s">
        <v>321</v>
      </c>
    </row>
    <row r="54" spans="1:7" ht="30" x14ac:dyDescent="0.25">
      <c r="A54" s="66">
        <v>9</v>
      </c>
      <c r="B54" s="66">
        <v>2</v>
      </c>
      <c r="C54" s="25"/>
      <c r="D54" s="28" t="s">
        <v>322</v>
      </c>
      <c r="E54" s="28" t="s">
        <v>955</v>
      </c>
      <c r="F54" s="57">
        <f>IF(Artifacts!$E$20="Artifact Provided",1,0)</f>
        <v>0</v>
      </c>
      <c r="G54" s="76" t="s">
        <v>324</v>
      </c>
    </row>
    <row r="55" spans="1:7" ht="15.75" customHeight="1" x14ac:dyDescent="0.25">
      <c r="A55" s="66">
        <v>9</v>
      </c>
      <c r="B55" s="66">
        <v>2</v>
      </c>
      <c r="C55" s="25"/>
      <c r="D55" s="28" t="s">
        <v>327</v>
      </c>
      <c r="E55" s="28" t="s">
        <v>956</v>
      </c>
      <c r="F55" s="31"/>
      <c r="G55" s="32" t="s">
        <v>957</v>
      </c>
    </row>
    <row r="56" spans="1:7" ht="15.75" customHeight="1" x14ac:dyDescent="0.25">
      <c r="A56" s="66">
        <v>9</v>
      </c>
      <c r="B56" s="66">
        <v>2</v>
      </c>
      <c r="C56" s="25"/>
      <c r="D56" s="28" t="s">
        <v>330</v>
      </c>
      <c r="E56" s="28" t="s">
        <v>958</v>
      </c>
      <c r="F56" s="31"/>
      <c r="G56" s="32" t="s">
        <v>959</v>
      </c>
    </row>
    <row r="57" spans="1:7" ht="15.75" customHeight="1" x14ac:dyDescent="0.25">
      <c r="A57" s="66">
        <v>9</v>
      </c>
      <c r="B57" s="66">
        <v>2</v>
      </c>
      <c r="C57" s="25"/>
      <c r="D57" s="28" t="s">
        <v>332</v>
      </c>
      <c r="E57" s="28" t="s">
        <v>960</v>
      </c>
      <c r="F57" s="31"/>
      <c r="G57" s="32" t="s">
        <v>961</v>
      </c>
    </row>
    <row r="58" spans="1:7" ht="30" x14ac:dyDescent="0.25">
      <c r="A58" s="66">
        <v>9</v>
      </c>
      <c r="B58" s="66">
        <v>2</v>
      </c>
      <c r="C58" s="25"/>
      <c r="D58" s="28" t="s">
        <v>335</v>
      </c>
      <c r="E58" s="28" t="s">
        <v>962</v>
      </c>
      <c r="F58" s="31"/>
      <c r="G58" s="32"/>
    </row>
    <row r="59" spans="1:7" ht="15.75" customHeight="1" thickBot="1" x14ac:dyDescent="0.3">
      <c r="A59" s="66">
        <v>9</v>
      </c>
      <c r="B59" s="66">
        <v>2</v>
      </c>
      <c r="C59" s="25"/>
      <c r="D59" s="28" t="s">
        <v>338</v>
      </c>
      <c r="E59" s="28" t="s">
        <v>963</v>
      </c>
      <c r="F59" s="29">
        <f>DATEDIF(Artifacts!$F$20,GlobalSettings!$C$4,"m")</f>
        <v>1508</v>
      </c>
      <c r="G59" s="30"/>
    </row>
    <row r="60" spans="1:7" ht="30.75" thickBot="1" x14ac:dyDescent="0.3">
      <c r="A60" s="66">
        <v>9</v>
      </c>
      <c r="B60" s="66">
        <v>2</v>
      </c>
      <c r="E60" s="45" t="s">
        <v>964</v>
      </c>
      <c r="F60" s="46">
        <f>IFERROR(F55/F58,0)</f>
        <v>0</v>
      </c>
      <c r="G60" s="37" t="s">
        <v>965</v>
      </c>
    </row>
    <row r="61" spans="1:7" ht="30.75" thickBot="1" x14ac:dyDescent="0.3">
      <c r="A61" s="66">
        <v>9</v>
      </c>
      <c r="B61" s="66">
        <v>2</v>
      </c>
      <c r="E61" s="45" t="s">
        <v>966</v>
      </c>
      <c r="F61" s="46">
        <f>IFERROR(F57/F58,0)</f>
        <v>0</v>
      </c>
      <c r="G61" s="37" t="s">
        <v>967</v>
      </c>
    </row>
    <row r="62" spans="1:7" ht="15.75" customHeight="1" thickBot="1" x14ac:dyDescent="0.3">
      <c r="A62" s="66">
        <v>9</v>
      </c>
      <c r="B62" s="66">
        <v>2</v>
      </c>
      <c r="E62" s="47" t="s">
        <v>968</v>
      </c>
      <c r="F62" s="44">
        <f>IF(F54=0,0,IF(F59&lt;=12,AVERAGE(F60:F61),IF(GlobalSettings!$C$12="No",0,AVERAGE(F60:F61)*0.5)))</f>
        <v>0</v>
      </c>
      <c r="G62" s="37" t="s">
        <v>2069</v>
      </c>
    </row>
    <row r="64" spans="1:7" s="1" customFormat="1" ht="45" customHeight="1" x14ac:dyDescent="0.25">
      <c r="A64" s="66">
        <v>9</v>
      </c>
      <c r="B64" s="66">
        <v>2</v>
      </c>
      <c r="C64" s="51"/>
      <c r="D64" s="112"/>
      <c r="E64" s="152" t="s">
        <v>2080</v>
      </c>
      <c r="F64" s="147" t="s">
        <v>2053</v>
      </c>
      <c r="G64" s="159"/>
    </row>
    <row r="65" spans="1:7" s="1" customFormat="1" ht="15" x14ac:dyDescent="0.25">
      <c r="A65" s="64"/>
      <c r="B65" s="64"/>
      <c r="C65" s="112"/>
      <c r="D65" s="112"/>
      <c r="E65" s="112"/>
      <c r="F65" s="56"/>
      <c r="G65" s="150"/>
    </row>
    <row r="66" spans="1:7" ht="15.75" customHeight="1" x14ac:dyDescent="0.25">
      <c r="A66" s="66">
        <v>9</v>
      </c>
      <c r="B66" s="66">
        <v>2</v>
      </c>
      <c r="C66" s="146">
        <v>6.07</v>
      </c>
      <c r="D66" s="215" t="s">
        <v>214</v>
      </c>
      <c r="E66" s="215"/>
      <c r="F66" s="27" t="s">
        <v>320</v>
      </c>
      <c r="G66" s="146" t="s">
        <v>321</v>
      </c>
    </row>
    <row r="67" spans="1:7" ht="15.75" customHeight="1" x14ac:dyDescent="0.25">
      <c r="A67" s="66">
        <v>9</v>
      </c>
      <c r="B67" s="66">
        <v>2</v>
      </c>
      <c r="C67" s="25"/>
      <c r="D67" s="28" t="s">
        <v>322</v>
      </c>
      <c r="E67" s="28" t="s">
        <v>969</v>
      </c>
      <c r="F67" s="31"/>
      <c r="G67" s="32" t="s">
        <v>970</v>
      </c>
    </row>
    <row r="68" spans="1:7" ht="15.75" customHeight="1" x14ac:dyDescent="0.25">
      <c r="A68" s="66">
        <v>9</v>
      </c>
      <c r="B68" s="66">
        <v>2</v>
      </c>
      <c r="C68" s="25"/>
      <c r="D68" s="28" t="s">
        <v>327</v>
      </c>
      <c r="E68" s="28" t="s">
        <v>971</v>
      </c>
      <c r="F68" s="31"/>
      <c r="G68" s="32" t="s">
        <v>972</v>
      </c>
    </row>
    <row r="69" spans="1:7" ht="15.75" customHeight="1" thickBot="1" x14ac:dyDescent="0.3">
      <c r="A69" s="66">
        <v>9</v>
      </c>
      <c r="B69" s="66">
        <v>2</v>
      </c>
      <c r="C69" s="25"/>
      <c r="D69" s="28" t="s">
        <v>330</v>
      </c>
      <c r="E69" s="28" t="s">
        <v>973</v>
      </c>
      <c r="F69" s="29">
        <f>F67-F68</f>
        <v>0</v>
      </c>
      <c r="G69" s="30" t="s">
        <v>974</v>
      </c>
    </row>
    <row r="70" spans="1:7" ht="30.75" thickBot="1" x14ac:dyDescent="0.3">
      <c r="A70" s="66">
        <v>9</v>
      </c>
      <c r="B70" s="66">
        <v>2</v>
      </c>
      <c r="E70" s="45" t="s">
        <v>975</v>
      </c>
      <c r="F70" s="46">
        <f>IFERROR(F68/F67,0)</f>
        <v>0</v>
      </c>
      <c r="G70" s="37" t="s">
        <v>378</v>
      </c>
    </row>
    <row r="71" spans="1:7" ht="15.75" customHeight="1" thickBot="1" x14ac:dyDescent="0.3">
      <c r="A71" s="66">
        <v>9</v>
      </c>
      <c r="B71" s="66">
        <v>2</v>
      </c>
      <c r="E71" s="47" t="s">
        <v>976</v>
      </c>
      <c r="F71" s="44">
        <f>F70</f>
        <v>0</v>
      </c>
      <c r="G71" s="37"/>
    </row>
    <row r="73" spans="1:7" s="1" customFormat="1" ht="45" customHeight="1" x14ac:dyDescent="0.25">
      <c r="A73" s="66">
        <v>9</v>
      </c>
      <c r="B73" s="66">
        <v>2</v>
      </c>
      <c r="C73" s="51"/>
      <c r="D73" s="112"/>
      <c r="E73" s="152" t="s">
        <v>2080</v>
      </c>
      <c r="F73" s="147" t="s">
        <v>2053</v>
      </c>
      <c r="G73" s="159"/>
    </row>
    <row r="74" spans="1:7" s="1" customFormat="1" ht="15" x14ac:dyDescent="0.25">
      <c r="A74" s="64"/>
      <c r="B74" s="64"/>
      <c r="C74" s="112"/>
      <c r="D74" s="112"/>
      <c r="E74" s="112"/>
      <c r="F74" s="56"/>
      <c r="G74" s="150"/>
    </row>
    <row r="75" spans="1:7" ht="15.75" customHeight="1" x14ac:dyDescent="0.25">
      <c r="A75" s="66">
        <v>9</v>
      </c>
      <c r="B75" s="66">
        <v>3</v>
      </c>
      <c r="C75" s="146">
        <v>6.08</v>
      </c>
      <c r="D75" s="215" t="s">
        <v>215</v>
      </c>
      <c r="E75" s="215"/>
      <c r="F75" s="27" t="s">
        <v>320</v>
      </c>
      <c r="G75" s="146" t="s">
        <v>321</v>
      </c>
    </row>
    <row r="76" spans="1:7" ht="15.75" customHeight="1" x14ac:dyDescent="0.25">
      <c r="A76" s="66">
        <v>9</v>
      </c>
      <c r="B76" s="66">
        <v>3</v>
      </c>
      <c r="C76" s="25"/>
      <c r="D76" s="28" t="s">
        <v>322</v>
      </c>
      <c r="E76" s="28" t="s">
        <v>977</v>
      </c>
      <c r="F76" s="31"/>
      <c r="G76" s="32" t="s">
        <v>978</v>
      </c>
    </row>
    <row r="77" spans="1:7" ht="15.75" customHeight="1" x14ac:dyDescent="0.25">
      <c r="A77" s="66">
        <v>9</v>
      </c>
      <c r="B77" s="66">
        <v>3</v>
      </c>
      <c r="C77" s="25"/>
      <c r="D77" s="28" t="s">
        <v>327</v>
      </c>
      <c r="E77" s="28" t="s">
        <v>979</v>
      </c>
      <c r="F77" s="31"/>
      <c r="G77" s="32"/>
    </row>
    <row r="78" spans="1:7" ht="15.75" customHeight="1" x14ac:dyDescent="0.25">
      <c r="A78" s="66">
        <v>9</v>
      </c>
      <c r="B78" s="66">
        <v>3</v>
      </c>
      <c r="C78" s="25"/>
      <c r="D78" s="28" t="s">
        <v>330</v>
      </c>
      <c r="E78" s="28" t="s">
        <v>980</v>
      </c>
      <c r="F78" s="31"/>
      <c r="G78" s="32" t="s">
        <v>981</v>
      </c>
    </row>
    <row r="79" spans="1:7" ht="15.75" customHeight="1" x14ac:dyDescent="0.25">
      <c r="A79" s="66">
        <v>9</v>
      </c>
      <c r="B79" s="66">
        <v>3</v>
      </c>
      <c r="C79" s="25"/>
      <c r="D79" s="28" t="s">
        <v>332</v>
      </c>
      <c r="E79" s="28" t="s">
        <v>982</v>
      </c>
      <c r="F79" s="29">
        <f>F77-F78</f>
        <v>0</v>
      </c>
      <c r="G79" s="30" t="s">
        <v>983</v>
      </c>
    </row>
    <row r="80" spans="1:7" ht="15.75" customHeight="1" thickBot="1" x14ac:dyDescent="0.3">
      <c r="A80" s="66">
        <v>9</v>
      </c>
      <c r="B80" s="66">
        <v>3</v>
      </c>
      <c r="C80" s="25"/>
      <c r="D80" s="28" t="s">
        <v>335</v>
      </c>
      <c r="E80" s="28" t="s">
        <v>984</v>
      </c>
      <c r="F80" s="31"/>
      <c r="G80" s="32" t="s">
        <v>985</v>
      </c>
    </row>
    <row r="81" spans="1:7" ht="15.75" customHeight="1" thickBot="1" x14ac:dyDescent="0.3">
      <c r="A81" s="66">
        <v>9</v>
      </c>
      <c r="B81" s="66">
        <v>3</v>
      </c>
      <c r="E81" s="45" t="s">
        <v>986</v>
      </c>
      <c r="F81" s="46">
        <f>IFERROR(F78/F77,0)</f>
        <v>0</v>
      </c>
      <c r="G81" s="37" t="s">
        <v>348</v>
      </c>
    </row>
    <row r="82" spans="1:7" ht="15.75" customHeight="1" thickBot="1" x14ac:dyDescent="0.3">
      <c r="A82" s="66">
        <v>9</v>
      </c>
      <c r="B82" s="66">
        <v>3</v>
      </c>
      <c r="E82" s="47" t="s">
        <v>987</v>
      </c>
      <c r="F82" s="44">
        <f>IF(F76=0,0,IF(F80&lt;=GlobalSettings!$C$8,F81,IF(GlobalSettings!$C$10="No",0,F81*(GlobalSettings!$C$6-0.01))))</f>
        <v>0</v>
      </c>
      <c r="G82" s="37"/>
    </row>
    <row r="84" spans="1:7" s="1" customFormat="1" ht="45" customHeight="1" x14ac:dyDescent="0.25">
      <c r="A84" s="66">
        <v>9</v>
      </c>
      <c r="B84" s="66">
        <v>3</v>
      </c>
      <c r="C84" s="51"/>
      <c r="D84" s="112"/>
      <c r="E84" s="152" t="s">
        <v>2080</v>
      </c>
      <c r="F84" s="147" t="s">
        <v>2053</v>
      </c>
      <c r="G84" s="159"/>
    </row>
    <row r="85" spans="1:7" s="1" customFormat="1" ht="15" x14ac:dyDescent="0.25">
      <c r="A85" s="64"/>
      <c r="B85" s="64"/>
      <c r="C85" s="112"/>
      <c r="D85" s="112"/>
      <c r="E85" s="112"/>
      <c r="F85" s="56"/>
      <c r="G85" s="150"/>
    </row>
  </sheetData>
  <sheetProtection algorithmName="SHA-512" hashValue="2bK0/FIZUpfQIQNQjK8VvvZOk59kFG+ner5pJPXVnJBHmtElLN4nc+L6VRlKnpNS9dqWw3Nai+Ccbuc3qff6Ng==" saltValue="SeSsxj5rg5Fki9vMV2EEqQ==" spinCount="100000" sheet="1" formatRows="0" selectLockedCells="1"/>
  <mergeCells count="9">
    <mergeCell ref="D43:E43"/>
    <mergeCell ref="D53:E53"/>
    <mergeCell ref="D66:E66"/>
    <mergeCell ref="D75:E75"/>
    <mergeCell ref="C2:E2"/>
    <mergeCell ref="D4:E4"/>
    <mergeCell ref="D14:E14"/>
    <mergeCell ref="D24:E24"/>
    <mergeCell ref="D33:E33"/>
  </mergeCells>
  <conditionalFormatting sqref="E1:E1048576">
    <cfRule type="containsText" dxfId="40" priority="2" operator="containsText" text="Safeguard Scoring Complete">
      <formula>NOT(ISERROR(SEARCH("Safeguard Scoring Complete",E1)))</formula>
    </cfRule>
    <cfRule type="containsText" dxfId="39" priority="11" operator="containsText" text="Safeguard Scoring Incomplete">
      <formula>NOT(ISERROR(SEARCH("Safeguard Scoring Incomplete",E1)))</formula>
    </cfRule>
  </conditionalFormatting>
  <dataValidations count="3">
    <dataValidation type="list" allowBlank="1" showInputMessage="1" showErrorMessage="1" sqref="F6:F8 F16:F18 F76" xr:uid="{2C96E971-6416-4593-AE84-CFB1EC2FB9D3}">
      <formula1>"0,1"</formula1>
    </dataValidation>
    <dataValidation type="list" allowBlank="1" showInputMessage="1" showErrorMessage="1" sqref="F2" xr:uid="{327E0586-A085-41C7-B670-17B93087403A}">
      <formula1>"Assessed,Not Assessed"</formula1>
    </dataValidation>
    <dataValidation type="list" allowBlank="1" showInputMessage="1" showErrorMessage="1" sqref="E12 E22 E31 E41 E51 E64 E73 E84" xr:uid="{28A35D79-ED23-4992-B98C-9C242F1C216B}">
      <formula1>"Safeguard Scoring Complete,Safeguard Scoring Incomplete"</formula1>
    </dataValidation>
  </dataValidations>
  <hyperlinks>
    <hyperlink ref="G2" r:id="rId1" xr:uid="{0A56B2AA-4E0D-403F-952F-B9793044835C}"/>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F955ACA5-443D-4E2C-9D22-AC7A205E374E}">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9399-CBC0-4687-B84C-33D866C87F0F}">
  <sheetPr codeName="Sheet10"/>
  <dimension ref="A2:G105"/>
  <sheetViews>
    <sheetView showGridLines="0" topLeftCell="A50" workbookViewId="0">
      <selection activeCell="F72" sqref="F72"/>
    </sheetView>
  </sheetViews>
  <sheetFormatPr defaultColWidth="9.140625" defaultRowHeight="15" x14ac:dyDescent="0.25"/>
  <cols>
    <col min="1" max="2" width="2.7109375" style="64" customWidth="1"/>
    <col min="3"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988</v>
      </c>
      <c r="D2" s="214"/>
      <c r="E2" s="214"/>
      <c r="F2" s="100" t="s">
        <v>318</v>
      </c>
      <c r="G2" s="208" t="s">
        <v>2191</v>
      </c>
    </row>
    <row r="4" spans="1:7" x14ac:dyDescent="0.25">
      <c r="A4" s="64">
        <v>0</v>
      </c>
      <c r="B4" s="64">
        <v>1</v>
      </c>
      <c r="C4" s="146">
        <v>7.01</v>
      </c>
      <c r="D4" s="215" t="s">
        <v>216</v>
      </c>
      <c r="E4" s="215"/>
      <c r="F4" s="27" t="s">
        <v>320</v>
      </c>
      <c r="G4" s="146" t="s">
        <v>321</v>
      </c>
    </row>
    <row r="5" spans="1:7" x14ac:dyDescent="0.25">
      <c r="A5" s="64">
        <v>0</v>
      </c>
      <c r="B5" s="64">
        <v>1</v>
      </c>
      <c r="C5" s="25"/>
      <c r="D5" s="28" t="s">
        <v>322</v>
      </c>
      <c r="E5" s="28" t="s">
        <v>989</v>
      </c>
      <c r="F5" s="57">
        <f>IF(Artifacts!$E$45="Artifact Provided",1,0)</f>
        <v>0</v>
      </c>
      <c r="G5" s="76" t="s">
        <v>324</v>
      </c>
    </row>
    <row r="6" spans="1:7" ht="15.75" thickBot="1" x14ac:dyDescent="0.3">
      <c r="A6" s="64">
        <v>0</v>
      </c>
      <c r="B6" s="64">
        <v>1</v>
      </c>
      <c r="C6" s="25"/>
      <c r="D6" s="28" t="s">
        <v>327</v>
      </c>
      <c r="E6" s="28" t="s">
        <v>2061</v>
      </c>
      <c r="F6" s="59">
        <f>DATEDIF(Artifacts!$F$45,GlobalSettings!$C$4,"m")</f>
        <v>1508</v>
      </c>
      <c r="G6" s="77" t="s">
        <v>990</v>
      </c>
    </row>
    <row r="7" spans="1:7" ht="15.75" thickBot="1" x14ac:dyDescent="0.3">
      <c r="A7" s="64">
        <v>0</v>
      </c>
      <c r="B7" s="64">
        <v>1</v>
      </c>
      <c r="E7" s="45" t="s">
        <v>991</v>
      </c>
      <c r="F7" s="46">
        <f>IF(F5=0,0,IF(F6&gt;GlobalSettings!$C$10,0,1))</f>
        <v>0</v>
      </c>
      <c r="G7" s="37"/>
    </row>
    <row r="8" spans="1:7" ht="15.75" thickBot="1" x14ac:dyDescent="0.3">
      <c r="A8" s="64">
        <v>0</v>
      </c>
      <c r="B8" s="64">
        <v>1</v>
      </c>
      <c r="E8" s="47" t="s">
        <v>992</v>
      </c>
      <c r="F8" s="44">
        <f>IF(F5=0,0,IF(F6&lt;=GlobalSettings!$C$8,F7,IF(GlobalSettings!$C$10="No",0,F7*(GlobalSettings!$C$6-0.01))))</f>
        <v>0</v>
      </c>
      <c r="G8" s="37" t="s">
        <v>993</v>
      </c>
    </row>
    <row r="10" spans="1:7" s="1" customFormat="1" ht="45" customHeight="1" x14ac:dyDescent="0.25">
      <c r="A10" s="64">
        <v>0</v>
      </c>
      <c r="B10" s="64">
        <v>1</v>
      </c>
      <c r="C10" s="112"/>
      <c r="D10" s="112"/>
      <c r="E10" s="152" t="s">
        <v>2080</v>
      </c>
      <c r="F10" s="147" t="s">
        <v>2053</v>
      </c>
      <c r="G10" s="159"/>
    </row>
    <row r="11" spans="1:7" s="1" customFormat="1" x14ac:dyDescent="0.25">
      <c r="A11" s="64"/>
      <c r="B11" s="64"/>
      <c r="C11" s="112"/>
      <c r="D11" s="112"/>
      <c r="E11" s="112"/>
      <c r="F11" s="56"/>
      <c r="G11" s="150"/>
    </row>
    <row r="12" spans="1:7" x14ac:dyDescent="0.25">
      <c r="A12" s="64">
        <v>0</v>
      </c>
      <c r="B12" s="64">
        <v>1</v>
      </c>
      <c r="C12" s="146">
        <v>7.02</v>
      </c>
      <c r="D12" s="215" t="s">
        <v>217</v>
      </c>
      <c r="E12" s="215"/>
      <c r="F12" s="27" t="s">
        <v>320</v>
      </c>
      <c r="G12" s="146" t="s">
        <v>321</v>
      </c>
    </row>
    <row r="13" spans="1:7" x14ac:dyDescent="0.25">
      <c r="A13" s="64">
        <v>0</v>
      </c>
      <c r="B13" s="64">
        <v>1</v>
      </c>
      <c r="C13" s="25"/>
      <c r="D13" s="28" t="s">
        <v>322</v>
      </c>
      <c r="E13" s="28" t="s">
        <v>994</v>
      </c>
      <c r="F13" s="57">
        <f>IF(Artifacts!$E$46="Artifact Provided",1,0)</f>
        <v>0</v>
      </c>
      <c r="G13" s="76" t="s">
        <v>324</v>
      </c>
    </row>
    <row r="14" spans="1:7" x14ac:dyDescent="0.25">
      <c r="C14" s="25"/>
      <c r="D14" s="28" t="s">
        <v>327</v>
      </c>
      <c r="E14" s="28" t="s">
        <v>995</v>
      </c>
      <c r="F14" s="59">
        <f>SUM(F15:F16)</f>
        <v>0</v>
      </c>
      <c r="G14" s="77"/>
    </row>
    <row r="15" spans="1:7" x14ac:dyDescent="0.25">
      <c r="C15" s="25"/>
      <c r="D15" s="28" t="s">
        <v>400</v>
      </c>
      <c r="E15" s="28" t="s">
        <v>996</v>
      </c>
      <c r="F15" s="31">
        <v>0</v>
      </c>
      <c r="G15" s="77" t="s">
        <v>978</v>
      </c>
    </row>
    <row r="16" spans="1:7" x14ac:dyDescent="0.25">
      <c r="C16" s="25"/>
      <c r="D16" s="28" t="s">
        <v>403</v>
      </c>
      <c r="E16" s="28" t="s">
        <v>997</v>
      </c>
      <c r="F16" s="31">
        <v>0</v>
      </c>
      <c r="G16" s="77" t="s">
        <v>978</v>
      </c>
    </row>
    <row r="17" spans="1:7" ht="15.75" thickBot="1" x14ac:dyDescent="0.3">
      <c r="A17" s="64">
        <v>0</v>
      </c>
      <c r="B17" s="64">
        <v>1</v>
      </c>
      <c r="C17" s="25"/>
      <c r="D17" s="28" t="s">
        <v>330</v>
      </c>
      <c r="E17" s="28" t="s">
        <v>2062</v>
      </c>
      <c r="F17" s="31">
        <v>0</v>
      </c>
      <c r="G17" s="77" t="s">
        <v>978</v>
      </c>
    </row>
    <row r="18" spans="1:7" ht="15.75" thickBot="1" x14ac:dyDescent="0.3">
      <c r="A18" s="64">
        <v>0</v>
      </c>
      <c r="B18" s="64">
        <v>1</v>
      </c>
      <c r="E18" s="45" t="s">
        <v>998</v>
      </c>
      <c r="F18" s="46">
        <f>IFERROR((F14+F17)/3,0)</f>
        <v>0</v>
      </c>
      <c r="G18" s="77"/>
    </row>
    <row r="19" spans="1:7" ht="15.75" thickBot="1" x14ac:dyDescent="0.3">
      <c r="A19" s="64">
        <v>0</v>
      </c>
      <c r="B19" s="64">
        <v>1</v>
      </c>
      <c r="E19" s="47" t="s">
        <v>2102</v>
      </c>
      <c r="F19" s="44">
        <f>IF(F13=0,0,F18)</f>
        <v>0</v>
      </c>
      <c r="G19" s="37" t="s">
        <v>2070</v>
      </c>
    </row>
    <row r="21" spans="1:7" s="1" customFormat="1" ht="45" customHeight="1" x14ac:dyDescent="0.25">
      <c r="A21" s="64">
        <v>0</v>
      </c>
      <c r="B21" s="64">
        <v>1</v>
      </c>
      <c r="C21" s="112"/>
      <c r="D21" s="112"/>
      <c r="E21" s="152" t="s">
        <v>2080</v>
      </c>
      <c r="F21" s="147" t="s">
        <v>2053</v>
      </c>
      <c r="G21" s="159"/>
    </row>
    <row r="22" spans="1:7" s="1" customFormat="1" x14ac:dyDescent="0.25">
      <c r="A22" s="64"/>
      <c r="B22" s="64"/>
      <c r="C22" s="112"/>
      <c r="D22" s="112"/>
      <c r="E22" s="112"/>
      <c r="F22" s="56"/>
      <c r="G22" s="150"/>
    </row>
    <row r="23" spans="1:7" x14ac:dyDescent="0.25">
      <c r="A23" s="64">
        <v>0</v>
      </c>
      <c r="B23" s="64">
        <v>1</v>
      </c>
      <c r="C23" s="146">
        <v>7.03</v>
      </c>
      <c r="D23" s="215" t="s">
        <v>218</v>
      </c>
      <c r="E23" s="215"/>
      <c r="F23" s="27" t="s">
        <v>320</v>
      </c>
      <c r="G23" s="146" t="s">
        <v>321</v>
      </c>
    </row>
    <row r="24" spans="1:7" x14ac:dyDescent="0.25">
      <c r="A24" s="64">
        <v>0</v>
      </c>
      <c r="B24" s="64">
        <v>2</v>
      </c>
      <c r="C24" s="25"/>
      <c r="D24" s="28"/>
      <c r="E24" s="28" t="s">
        <v>999</v>
      </c>
      <c r="F24" s="57">
        <f>IF(Artifacts!$E$9="Artifact Provided",1,0)</f>
        <v>0</v>
      </c>
      <c r="G24" s="76" t="s">
        <v>324</v>
      </c>
    </row>
    <row r="25" spans="1:7" x14ac:dyDescent="0.25">
      <c r="A25" s="64">
        <v>0</v>
      </c>
      <c r="B25" s="64">
        <v>1</v>
      </c>
      <c r="C25" s="25"/>
      <c r="D25" s="28" t="s">
        <v>322</v>
      </c>
      <c r="E25" s="28" t="s">
        <v>2101</v>
      </c>
      <c r="F25" s="58"/>
      <c r="G25" s="78" t="s">
        <v>2105</v>
      </c>
    </row>
    <row r="26" spans="1:7" x14ac:dyDescent="0.25">
      <c r="A26" s="64">
        <v>0</v>
      </c>
      <c r="B26" s="64">
        <v>1</v>
      </c>
      <c r="C26" s="25"/>
      <c r="D26" s="28" t="s">
        <v>327</v>
      </c>
      <c r="E26" s="28" t="s">
        <v>1000</v>
      </c>
      <c r="F26" s="29">
        <f>F25-F27</f>
        <v>0</v>
      </c>
      <c r="G26" s="76" t="s">
        <v>885</v>
      </c>
    </row>
    <row r="27" spans="1:7" x14ac:dyDescent="0.25">
      <c r="A27" s="64">
        <v>0</v>
      </c>
      <c r="B27" s="64">
        <v>1</v>
      </c>
      <c r="C27" s="25"/>
      <c r="D27" s="28" t="s">
        <v>330</v>
      </c>
      <c r="E27" s="28" t="s">
        <v>1001</v>
      </c>
      <c r="F27" s="58"/>
      <c r="G27" s="78" t="s">
        <v>2104</v>
      </c>
    </row>
    <row r="28" spans="1:7" x14ac:dyDescent="0.25">
      <c r="A28" s="64">
        <v>0</v>
      </c>
      <c r="B28" s="64">
        <v>1</v>
      </c>
      <c r="C28" s="25"/>
      <c r="D28" s="28" t="s">
        <v>332</v>
      </c>
      <c r="E28" s="28" t="s">
        <v>1002</v>
      </c>
      <c r="F28" s="58"/>
      <c r="G28" s="78" t="s">
        <v>1003</v>
      </c>
    </row>
    <row r="29" spans="1:7" x14ac:dyDescent="0.25">
      <c r="A29" s="64">
        <v>0</v>
      </c>
      <c r="B29" s="64">
        <v>1</v>
      </c>
      <c r="C29" s="25"/>
      <c r="D29" s="28" t="s">
        <v>335</v>
      </c>
      <c r="E29" s="28" t="s">
        <v>1004</v>
      </c>
      <c r="F29" s="29">
        <f>F27-F28</f>
        <v>0</v>
      </c>
      <c r="G29" s="76" t="s">
        <v>1005</v>
      </c>
    </row>
    <row r="30" spans="1:7" x14ac:dyDescent="0.25">
      <c r="A30" s="64">
        <v>0</v>
      </c>
      <c r="B30" s="64">
        <v>1</v>
      </c>
      <c r="C30" s="25"/>
      <c r="D30" s="28" t="s">
        <v>338</v>
      </c>
      <c r="E30" s="28" t="s">
        <v>1006</v>
      </c>
      <c r="F30" s="58"/>
      <c r="G30" s="78" t="s">
        <v>1007</v>
      </c>
    </row>
    <row r="31" spans="1:7" x14ac:dyDescent="0.25">
      <c r="A31" s="64">
        <v>0</v>
      </c>
      <c r="B31" s="64">
        <v>1</v>
      </c>
      <c r="C31" s="25"/>
      <c r="D31" s="28" t="s">
        <v>341</v>
      </c>
      <c r="E31" s="28" t="s">
        <v>1008</v>
      </c>
      <c r="F31" s="58"/>
      <c r="G31" s="78" t="s">
        <v>1009</v>
      </c>
    </row>
    <row r="32" spans="1:7" x14ac:dyDescent="0.25">
      <c r="A32" s="64">
        <v>0</v>
      </c>
      <c r="B32" s="64">
        <v>1</v>
      </c>
      <c r="C32" s="25"/>
      <c r="D32" s="28" t="s">
        <v>344</v>
      </c>
      <c r="E32" s="28" t="s">
        <v>1010</v>
      </c>
      <c r="F32" s="29">
        <f>F25-F31</f>
        <v>0</v>
      </c>
      <c r="G32" s="76" t="s">
        <v>1011</v>
      </c>
    </row>
    <row r="33" spans="1:7" x14ac:dyDescent="0.25">
      <c r="A33" s="64">
        <v>0</v>
      </c>
      <c r="B33" s="64">
        <v>1</v>
      </c>
      <c r="D33" s="28" t="s">
        <v>522</v>
      </c>
      <c r="E33" s="28" t="s">
        <v>1012</v>
      </c>
      <c r="F33" s="58"/>
      <c r="G33" s="78" t="s">
        <v>1013</v>
      </c>
    </row>
    <row r="34" spans="1:7" ht="15.75" thickBot="1" x14ac:dyDescent="0.3">
      <c r="A34" s="64">
        <v>0</v>
      </c>
      <c r="B34" s="64">
        <v>1</v>
      </c>
      <c r="D34" s="28" t="s">
        <v>1014</v>
      </c>
      <c r="E34" s="28" t="s">
        <v>1015</v>
      </c>
      <c r="F34" s="29">
        <f>F30-F33</f>
        <v>0</v>
      </c>
      <c r="G34" s="76" t="s">
        <v>1016</v>
      </c>
    </row>
    <row r="35" spans="1:7" ht="15.75" thickBot="1" x14ac:dyDescent="0.3">
      <c r="A35" s="64">
        <v>0</v>
      </c>
      <c r="B35" s="64">
        <v>1</v>
      </c>
      <c r="E35" s="45" t="s">
        <v>1017</v>
      </c>
      <c r="F35" s="46">
        <f>IFERROR((F26+F28)/F25,0)</f>
        <v>0</v>
      </c>
      <c r="G35" s="37" t="s">
        <v>821</v>
      </c>
    </row>
    <row r="36" spans="1:7" ht="15.75" thickBot="1" x14ac:dyDescent="0.3">
      <c r="A36" s="64">
        <v>0</v>
      </c>
      <c r="B36" s="64">
        <v>1</v>
      </c>
      <c r="E36" s="45" t="s">
        <v>1018</v>
      </c>
      <c r="F36" s="46">
        <f>IFERROR(F31/F25,0)</f>
        <v>0</v>
      </c>
      <c r="G36" s="37" t="s">
        <v>1019</v>
      </c>
    </row>
    <row r="37" spans="1:7" ht="15.75" thickBot="1" x14ac:dyDescent="0.3">
      <c r="A37" s="64">
        <v>0</v>
      </c>
      <c r="B37" s="64">
        <v>1</v>
      </c>
      <c r="E37" s="45" t="s">
        <v>1020</v>
      </c>
      <c r="F37" s="46">
        <f>IFERROR(F33/F30,0)</f>
        <v>0</v>
      </c>
      <c r="G37" s="37" t="s">
        <v>1021</v>
      </c>
    </row>
    <row r="38" spans="1:7" ht="30.75" thickBot="1" x14ac:dyDescent="0.3">
      <c r="A38" s="64">
        <v>0</v>
      </c>
      <c r="B38" s="64">
        <v>1</v>
      </c>
      <c r="E38" s="47" t="s">
        <v>1022</v>
      </c>
      <c r="F38" s="44">
        <f>IF(F24=1,F35,F35*(GlobalSettings!$C$6-0.01))</f>
        <v>0</v>
      </c>
      <c r="G38" s="37" t="s">
        <v>1023</v>
      </c>
    </row>
    <row r="40" spans="1:7" s="1" customFormat="1" ht="45" customHeight="1" x14ac:dyDescent="0.25">
      <c r="A40" s="64">
        <v>0</v>
      </c>
      <c r="B40" s="64">
        <v>1</v>
      </c>
      <c r="C40" s="112"/>
      <c r="D40" s="112"/>
      <c r="E40" s="152" t="s">
        <v>2080</v>
      </c>
      <c r="F40" s="147" t="s">
        <v>2053</v>
      </c>
      <c r="G40" s="159"/>
    </row>
    <row r="41" spans="1:7" s="1" customFormat="1" x14ac:dyDescent="0.25">
      <c r="A41" s="64"/>
      <c r="B41" s="64"/>
      <c r="C41" s="112"/>
      <c r="D41" s="112"/>
      <c r="E41" s="112"/>
      <c r="F41" s="56"/>
      <c r="G41" s="150"/>
    </row>
    <row r="42" spans="1:7" x14ac:dyDescent="0.25">
      <c r="A42" s="64">
        <v>0</v>
      </c>
      <c r="B42" s="64">
        <v>1</v>
      </c>
      <c r="C42" s="146">
        <v>7.04</v>
      </c>
      <c r="D42" s="215" t="s">
        <v>219</v>
      </c>
      <c r="E42" s="215"/>
      <c r="F42" s="27" t="s">
        <v>320</v>
      </c>
      <c r="G42" s="146" t="s">
        <v>321</v>
      </c>
    </row>
    <row r="43" spans="1:7" x14ac:dyDescent="0.25">
      <c r="A43" s="64">
        <v>0</v>
      </c>
      <c r="B43" s="64">
        <v>2</v>
      </c>
      <c r="C43" s="25"/>
      <c r="D43" s="28"/>
      <c r="E43" s="28" t="s">
        <v>999</v>
      </c>
      <c r="F43" s="57">
        <f>IF(Artifacts!$E$9="Artifact Provided",1,0)</f>
        <v>0</v>
      </c>
      <c r="G43" s="76" t="s">
        <v>324</v>
      </c>
    </row>
    <row r="44" spans="1:7" x14ac:dyDescent="0.25">
      <c r="A44" s="64">
        <v>0</v>
      </c>
      <c r="B44" s="64">
        <v>1</v>
      </c>
      <c r="C44" s="25"/>
      <c r="D44" s="28" t="s">
        <v>322</v>
      </c>
      <c r="E44" s="28" t="s">
        <v>2103</v>
      </c>
      <c r="F44" s="58"/>
      <c r="G44" s="78" t="s">
        <v>2106</v>
      </c>
    </row>
    <row r="45" spans="1:7" x14ac:dyDescent="0.25">
      <c r="A45" s="64">
        <v>0</v>
      </c>
      <c r="B45" s="64">
        <v>1</v>
      </c>
      <c r="C45" s="25"/>
      <c r="D45" s="28" t="s">
        <v>327</v>
      </c>
      <c r="E45" s="28" t="s">
        <v>1024</v>
      </c>
      <c r="F45" s="29">
        <f>F44-F46</f>
        <v>0</v>
      </c>
      <c r="G45" s="76" t="s">
        <v>885</v>
      </c>
    </row>
    <row r="46" spans="1:7" x14ac:dyDescent="0.25">
      <c r="A46" s="64">
        <v>0</v>
      </c>
      <c r="B46" s="64">
        <v>1</v>
      </c>
      <c r="C46" s="25"/>
      <c r="D46" s="28" t="s">
        <v>330</v>
      </c>
      <c r="E46" s="28" t="s">
        <v>1025</v>
      </c>
      <c r="F46" s="58"/>
      <c r="G46" s="78" t="s">
        <v>2107</v>
      </c>
    </row>
    <row r="47" spans="1:7" x14ac:dyDescent="0.25">
      <c r="A47" s="64">
        <v>0</v>
      </c>
      <c r="B47" s="64">
        <v>1</v>
      </c>
      <c r="C47" s="25"/>
      <c r="D47" s="28" t="s">
        <v>332</v>
      </c>
      <c r="E47" s="28" t="s">
        <v>1026</v>
      </c>
      <c r="F47" s="58"/>
      <c r="G47" s="78" t="s">
        <v>1027</v>
      </c>
    </row>
    <row r="48" spans="1:7" x14ac:dyDescent="0.25">
      <c r="A48" s="64">
        <v>0</v>
      </c>
      <c r="B48" s="64">
        <v>1</v>
      </c>
      <c r="C48" s="25"/>
      <c r="D48" s="28" t="s">
        <v>335</v>
      </c>
      <c r="E48" s="28" t="s">
        <v>1028</v>
      </c>
      <c r="F48" s="29">
        <f>F46-F47</f>
        <v>0</v>
      </c>
      <c r="G48" s="76" t="s">
        <v>1029</v>
      </c>
    </row>
    <row r="49" spans="1:7" x14ac:dyDescent="0.25">
      <c r="A49" s="64">
        <v>0</v>
      </c>
      <c r="B49" s="64">
        <v>1</v>
      </c>
      <c r="C49" s="25"/>
      <c r="D49" s="28" t="s">
        <v>338</v>
      </c>
      <c r="E49" s="28" t="s">
        <v>1006</v>
      </c>
      <c r="F49" s="29">
        <f>F30</f>
        <v>0</v>
      </c>
      <c r="G49" s="76" t="s">
        <v>1030</v>
      </c>
    </row>
    <row r="50" spans="1:7" x14ac:dyDescent="0.25">
      <c r="A50" s="64">
        <v>0</v>
      </c>
      <c r="B50" s="64">
        <v>1</v>
      </c>
      <c r="C50" s="25"/>
      <c r="D50" s="28" t="s">
        <v>341</v>
      </c>
      <c r="E50" s="28" t="s">
        <v>1031</v>
      </c>
      <c r="F50" s="58"/>
      <c r="G50" s="78" t="s">
        <v>1032</v>
      </c>
    </row>
    <row r="51" spans="1:7" x14ac:dyDescent="0.25">
      <c r="A51" s="64">
        <v>0</v>
      </c>
      <c r="B51" s="64">
        <v>1</v>
      </c>
      <c r="C51" s="25"/>
      <c r="D51" s="28" t="s">
        <v>344</v>
      </c>
      <c r="E51" s="28" t="s">
        <v>1033</v>
      </c>
      <c r="F51" s="29">
        <f>F44-F50</f>
        <v>0</v>
      </c>
      <c r="G51" s="76" t="s">
        <v>1034</v>
      </c>
    </row>
    <row r="52" spans="1:7" x14ac:dyDescent="0.25">
      <c r="A52" s="64">
        <v>0</v>
      </c>
      <c r="B52" s="64">
        <v>1</v>
      </c>
      <c r="C52" s="25"/>
      <c r="D52" s="28" t="s">
        <v>522</v>
      </c>
      <c r="E52" s="28" t="s">
        <v>1035</v>
      </c>
      <c r="F52" s="29">
        <f>F33</f>
        <v>0</v>
      </c>
      <c r="G52" s="76" t="s">
        <v>1036</v>
      </c>
    </row>
    <row r="53" spans="1:7" ht="15.75" thickBot="1" x14ac:dyDescent="0.3">
      <c r="A53" s="64">
        <v>0</v>
      </c>
      <c r="B53" s="64">
        <v>1</v>
      </c>
      <c r="C53" s="25"/>
      <c r="D53" s="28" t="s">
        <v>1014</v>
      </c>
      <c r="E53" s="28" t="s">
        <v>1037</v>
      </c>
      <c r="F53" s="29">
        <f>F34</f>
        <v>0</v>
      </c>
      <c r="G53" s="76" t="s">
        <v>1038</v>
      </c>
    </row>
    <row r="54" spans="1:7" ht="15.75" thickBot="1" x14ac:dyDescent="0.3">
      <c r="A54" s="64">
        <v>0</v>
      </c>
      <c r="B54" s="64">
        <v>1</v>
      </c>
      <c r="E54" s="45" t="s">
        <v>1039</v>
      </c>
      <c r="F54" s="46">
        <f>IFERROR((F45+F47)/F44,0)</f>
        <v>0</v>
      </c>
      <c r="G54" s="37" t="s">
        <v>821</v>
      </c>
    </row>
    <row r="55" spans="1:7" ht="15.75" thickBot="1" x14ac:dyDescent="0.3">
      <c r="A55" s="64">
        <v>0</v>
      </c>
      <c r="B55" s="64">
        <v>1</v>
      </c>
      <c r="E55" s="45" t="s">
        <v>2161</v>
      </c>
      <c r="F55" s="46">
        <f>IFERROR(F50/F44,0)</f>
        <v>0</v>
      </c>
      <c r="G55" s="37" t="s">
        <v>1019</v>
      </c>
    </row>
    <row r="56" spans="1:7" ht="15.75" thickBot="1" x14ac:dyDescent="0.3">
      <c r="A56" s="64">
        <v>0</v>
      </c>
      <c r="B56" s="64">
        <v>1</v>
      </c>
      <c r="E56" s="45" t="s">
        <v>1040</v>
      </c>
      <c r="F56" s="46">
        <f>IFERROR(F52/F49,0)</f>
        <v>0</v>
      </c>
      <c r="G56" s="37" t="s">
        <v>1021</v>
      </c>
    </row>
    <row r="57" spans="1:7" ht="15.75" thickBot="1" x14ac:dyDescent="0.3">
      <c r="A57" s="64">
        <v>0</v>
      </c>
      <c r="B57" s="64">
        <v>1</v>
      </c>
      <c r="E57" s="47" t="s">
        <v>1041</v>
      </c>
      <c r="F57" s="44">
        <f>IF(F43=1,F54,F54*(GlobalSettings!$C$6-0.01))</f>
        <v>0</v>
      </c>
      <c r="G57" s="37" t="s">
        <v>1042</v>
      </c>
    </row>
    <row r="59" spans="1:7" s="1" customFormat="1" ht="45" customHeight="1" x14ac:dyDescent="0.25">
      <c r="A59" s="64">
        <v>0</v>
      </c>
      <c r="B59" s="64">
        <v>1</v>
      </c>
      <c r="C59" s="112"/>
      <c r="D59" s="112"/>
      <c r="E59" s="152" t="s">
        <v>2080</v>
      </c>
      <c r="F59" s="147" t="s">
        <v>2053</v>
      </c>
      <c r="G59" s="159"/>
    </row>
    <row r="60" spans="1:7" s="1" customFormat="1" x14ac:dyDescent="0.25">
      <c r="A60" s="64"/>
      <c r="B60" s="64"/>
      <c r="C60" s="112"/>
      <c r="D60" s="112"/>
      <c r="E60" s="112"/>
      <c r="F60" s="56"/>
      <c r="G60" s="150"/>
    </row>
    <row r="61" spans="1:7" x14ac:dyDescent="0.25">
      <c r="A61" s="64">
        <v>0</v>
      </c>
      <c r="B61" s="64">
        <v>2</v>
      </c>
      <c r="C61" s="146">
        <v>7.05</v>
      </c>
      <c r="D61" s="215" t="s">
        <v>220</v>
      </c>
      <c r="E61" s="215"/>
      <c r="F61" s="27" t="s">
        <v>320</v>
      </c>
      <c r="G61" s="146" t="s">
        <v>321</v>
      </c>
    </row>
    <row r="62" spans="1:7" x14ac:dyDescent="0.25">
      <c r="A62" s="64">
        <v>0</v>
      </c>
      <c r="B62" s="64">
        <v>2</v>
      </c>
      <c r="C62" s="25"/>
      <c r="D62" s="28"/>
      <c r="E62" s="28" t="s">
        <v>1043</v>
      </c>
      <c r="F62" s="57">
        <f>IF(Artifacts!$E$10="Artifact Provided",1,0)</f>
        <v>0</v>
      </c>
      <c r="G62" s="76" t="s">
        <v>324</v>
      </c>
    </row>
    <row r="63" spans="1:7" x14ac:dyDescent="0.25">
      <c r="A63" s="64">
        <v>0</v>
      </c>
      <c r="B63" s="64">
        <v>2</v>
      </c>
      <c r="C63" s="25"/>
      <c r="D63" s="28" t="s">
        <v>322</v>
      </c>
      <c r="E63" s="28" t="s">
        <v>1044</v>
      </c>
      <c r="F63" s="58"/>
      <c r="G63" s="78" t="s">
        <v>1045</v>
      </c>
    </row>
    <row r="64" spans="1:7" x14ac:dyDescent="0.25">
      <c r="A64" s="64">
        <v>0</v>
      </c>
      <c r="B64" s="64">
        <v>2</v>
      </c>
      <c r="C64" s="25"/>
      <c r="D64" s="28" t="s">
        <v>327</v>
      </c>
      <c r="E64" s="28" t="s">
        <v>1046</v>
      </c>
      <c r="F64" s="58"/>
      <c r="G64" s="78" t="s">
        <v>1047</v>
      </c>
    </row>
    <row r="65" spans="1:7" x14ac:dyDescent="0.25">
      <c r="A65" s="64">
        <v>0</v>
      </c>
      <c r="B65" s="64">
        <v>2</v>
      </c>
      <c r="C65" s="25"/>
      <c r="D65" s="28" t="s">
        <v>330</v>
      </c>
      <c r="E65" s="28" t="s">
        <v>1048</v>
      </c>
      <c r="F65" s="58"/>
      <c r="G65" s="78" t="s">
        <v>1049</v>
      </c>
    </row>
    <row r="66" spans="1:7" x14ac:dyDescent="0.25">
      <c r="A66" s="64">
        <v>0</v>
      </c>
      <c r="B66" s="64">
        <v>2</v>
      </c>
      <c r="C66" s="25"/>
      <c r="D66" s="28" t="s">
        <v>332</v>
      </c>
      <c r="E66" s="28" t="s">
        <v>1050</v>
      </c>
      <c r="F66" s="58"/>
      <c r="G66" s="78" t="s">
        <v>1051</v>
      </c>
    </row>
    <row r="67" spans="1:7" x14ac:dyDescent="0.25">
      <c r="A67" s="64">
        <v>0</v>
      </c>
      <c r="B67" s="64">
        <v>2</v>
      </c>
      <c r="C67" s="25"/>
      <c r="D67" s="28" t="s">
        <v>335</v>
      </c>
      <c r="E67" s="28" t="s">
        <v>1052</v>
      </c>
      <c r="F67" s="29">
        <f>F65-F66</f>
        <v>0</v>
      </c>
      <c r="G67" s="76" t="s">
        <v>1053</v>
      </c>
    </row>
    <row r="68" spans="1:7" x14ac:dyDescent="0.25">
      <c r="A68" s="64">
        <v>0</v>
      </c>
      <c r="B68" s="64">
        <v>2</v>
      </c>
      <c r="C68" s="25"/>
      <c r="D68" s="28" t="s">
        <v>338</v>
      </c>
      <c r="E68" s="28" t="s">
        <v>1054</v>
      </c>
      <c r="F68" s="58"/>
      <c r="G68" s="78" t="s">
        <v>1055</v>
      </c>
    </row>
    <row r="69" spans="1:7" x14ac:dyDescent="0.25">
      <c r="A69" s="64">
        <v>0</v>
      </c>
      <c r="B69" s="64">
        <v>2</v>
      </c>
      <c r="C69" s="25"/>
      <c r="D69" s="28" t="s">
        <v>341</v>
      </c>
      <c r="E69" s="28" t="s">
        <v>1056</v>
      </c>
      <c r="F69" s="29">
        <f>F65-F68</f>
        <v>0</v>
      </c>
      <c r="G69" s="76" t="s">
        <v>1057</v>
      </c>
    </row>
    <row r="70" spans="1:7" x14ac:dyDescent="0.25">
      <c r="A70" s="64">
        <v>0</v>
      </c>
      <c r="B70" s="64">
        <v>2</v>
      </c>
      <c r="C70" s="25"/>
      <c r="D70" s="28" t="s">
        <v>344</v>
      </c>
      <c r="E70" s="28" t="s">
        <v>1058</v>
      </c>
      <c r="F70" s="58"/>
      <c r="G70" s="78" t="s">
        <v>1059</v>
      </c>
    </row>
    <row r="71" spans="1:7" x14ac:dyDescent="0.25">
      <c r="A71" s="64">
        <v>0</v>
      </c>
      <c r="B71" s="64">
        <v>2</v>
      </c>
      <c r="D71" s="28" t="s">
        <v>522</v>
      </c>
      <c r="E71" s="28" t="s">
        <v>1060</v>
      </c>
      <c r="F71" s="29">
        <f>F63-F70</f>
        <v>0</v>
      </c>
      <c r="G71" s="76" t="s">
        <v>1061</v>
      </c>
    </row>
    <row r="72" spans="1:7" x14ac:dyDescent="0.25">
      <c r="A72" s="64">
        <v>0</v>
      </c>
      <c r="B72" s="64">
        <v>2</v>
      </c>
      <c r="D72" s="28" t="s">
        <v>1014</v>
      </c>
      <c r="E72" s="28" t="s">
        <v>1062</v>
      </c>
      <c r="F72" s="58"/>
      <c r="G72" s="78" t="s">
        <v>1063</v>
      </c>
    </row>
    <row r="73" spans="1:7" ht="15.75" thickBot="1" x14ac:dyDescent="0.3">
      <c r="A73" s="64">
        <v>0</v>
      </c>
      <c r="B73" s="64">
        <v>2</v>
      </c>
      <c r="D73" s="28" t="s">
        <v>1064</v>
      </c>
      <c r="E73" s="28" t="s">
        <v>1065</v>
      </c>
      <c r="F73" s="29">
        <f>F64-F72</f>
        <v>0</v>
      </c>
      <c r="G73" s="76" t="s">
        <v>1066</v>
      </c>
    </row>
    <row r="74" spans="1:7" ht="15.75" thickBot="1" x14ac:dyDescent="0.3">
      <c r="A74" s="64">
        <v>0</v>
      </c>
      <c r="B74" s="64">
        <v>2</v>
      </c>
      <c r="E74" s="45" t="s">
        <v>1067</v>
      </c>
      <c r="F74" s="46">
        <f>IFERROR(F66/F65,0)</f>
        <v>0</v>
      </c>
      <c r="G74" s="37" t="s">
        <v>380</v>
      </c>
    </row>
    <row r="75" spans="1:7" ht="15.75" thickBot="1" x14ac:dyDescent="0.3">
      <c r="A75" s="64">
        <v>0</v>
      </c>
      <c r="B75" s="64">
        <v>2</v>
      </c>
      <c r="E75" s="45" t="s">
        <v>1068</v>
      </c>
      <c r="F75" s="46">
        <f>IFERROR(F68/F65,0)</f>
        <v>0</v>
      </c>
      <c r="G75" s="37" t="s">
        <v>891</v>
      </c>
    </row>
    <row r="76" spans="1:7" ht="15.75" thickBot="1" x14ac:dyDescent="0.3">
      <c r="A76" s="64">
        <v>0</v>
      </c>
      <c r="B76" s="64">
        <v>2</v>
      </c>
      <c r="E76" s="45" t="s">
        <v>1069</v>
      </c>
      <c r="F76" s="46">
        <f>IFERROR(F70/F63,0)</f>
        <v>0</v>
      </c>
      <c r="G76" s="37" t="s">
        <v>1070</v>
      </c>
    </row>
    <row r="77" spans="1:7" ht="30.75" thickBot="1" x14ac:dyDescent="0.3">
      <c r="A77" s="64">
        <v>0</v>
      </c>
      <c r="B77" s="64">
        <v>2</v>
      </c>
      <c r="E77" s="45" t="s">
        <v>1071</v>
      </c>
      <c r="F77" s="46">
        <f>IFERROR(F72/F64,0)</f>
        <v>0</v>
      </c>
      <c r="G77" s="37" t="s">
        <v>1072</v>
      </c>
    </row>
    <row r="78" spans="1:7" ht="15.75" thickBot="1" x14ac:dyDescent="0.3">
      <c r="A78" s="64">
        <v>0</v>
      </c>
      <c r="B78" s="64">
        <v>2</v>
      </c>
      <c r="E78" s="47" t="s">
        <v>1073</v>
      </c>
      <c r="F78" s="44">
        <f>IF(F62=0,AVERAGE(F74:F75)*(GlobalSettings!C6-0.01),AVERAGE(F74:F75))</f>
        <v>0</v>
      </c>
      <c r="G78" s="37" t="s">
        <v>1074</v>
      </c>
    </row>
    <row r="80" spans="1:7" s="1" customFormat="1" ht="45" customHeight="1" x14ac:dyDescent="0.25">
      <c r="A80" s="64">
        <v>0</v>
      </c>
      <c r="B80" s="64">
        <v>2</v>
      </c>
      <c r="C80" s="112"/>
      <c r="D80" s="112"/>
      <c r="E80" s="152" t="s">
        <v>2080</v>
      </c>
      <c r="F80" s="147" t="s">
        <v>2053</v>
      </c>
      <c r="G80" s="159"/>
    </row>
    <row r="81" spans="1:7" s="1" customFormat="1" x14ac:dyDescent="0.25">
      <c r="A81" s="64"/>
      <c r="B81" s="64"/>
      <c r="C81" s="112"/>
      <c r="D81" s="112"/>
      <c r="E81" s="112"/>
      <c r="F81" s="56"/>
      <c r="G81" s="150"/>
    </row>
    <row r="82" spans="1:7" x14ac:dyDescent="0.25">
      <c r="A82" s="64">
        <v>0</v>
      </c>
      <c r="B82" s="64">
        <v>2</v>
      </c>
      <c r="C82" s="146">
        <v>7.06</v>
      </c>
      <c r="D82" s="215" t="s">
        <v>221</v>
      </c>
      <c r="E82" s="215"/>
      <c r="F82" s="27" t="s">
        <v>320</v>
      </c>
      <c r="G82" s="146" t="s">
        <v>321</v>
      </c>
    </row>
    <row r="83" spans="1:7" x14ac:dyDescent="0.25">
      <c r="A83" s="64">
        <v>0</v>
      </c>
      <c r="B83" s="64">
        <v>2</v>
      </c>
      <c r="C83" s="25"/>
      <c r="D83" s="28"/>
      <c r="E83" s="28" t="s">
        <v>1043</v>
      </c>
      <c r="F83" s="57">
        <f>IF(Artifacts!$E$10="Artifact Provided",1,0)</f>
        <v>0</v>
      </c>
      <c r="G83" s="76" t="s">
        <v>324</v>
      </c>
    </row>
    <row r="84" spans="1:7" x14ac:dyDescent="0.25">
      <c r="A84" s="64">
        <v>0</v>
      </c>
      <c r="B84" s="64">
        <v>2</v>
      </c>
      <c r="C84" s="25"/>
      <c r="D84" s="28" t="s">
        <v>322</v>
      </c>
      <c r="E84" s="28" t="s">
        <v>1044</v>
      </c>
      <c r="F84" s="58"/>
      <c r="G84" s="78"/>
    </row>
    <row r="85" spans="1:7" x14ac:dyDescent="0.25">
      <c r="A85" s="64">
        <v>0</v>
      </c>
      <c r="B85" s="64">
        <v>2</v>
      </c>
      <c r="C85" s="25"/>
      <c r="D85" s="28" t="s">
        <v>327</v>
      </c>
      <c r="E85" t="s">
        <v>1075</v>
      </c>
      <c r="F85" s="58"/>
      <c r="G85" s="78" t="s">
        <v>1076</v>
      </c>
    </row>
    <row r="86" spans="1:7" x14ac:dyDescent="0.25">
      <c r="A86" s="64">
        <v>0</v>
      </c>
      <c r="B86" s="64">
        <v>2</v>
      </c>
      <c r="C86" s="25"/>
      <c r="D86" s="28" t="s">
        <v>330</v>
      </c>
      <c r="E86" s="28" t="s">
        <v>1077</v>
      </c>
      <c r="F86" s="58"/>
      <c r="G86" s="78" t="s">
        <v>1078</v>
      </c>
    </row>
    <row r="87" spans="1:7" x14ac:dyDescent="0.25">
      <c r="A87" s="64">
        <v>0</v>
      </c>
      <c r="B87" s="64">
        <v>2</v>
      </c>
      <c r="C87" s="25"/>
      <c r="D87" s="28" t="s">
        <v>332</v>
      </c>
      <c r="E87" s="28" t="s">
        <v>1079</v>
      </c>
      <c r="F87" s="29">
        <f>F85-F86</f>
        <v>0</v>
      </c>
      <c r="G87" s="76" t="s">
        <v>1080</v>
      </c>
    </row>
    <row r="88" spans="1:7" x14ac:dyDescent="0.25">
      <c r="A88" s="64">
        <v>0</v>
      </c>
      <c r="B88" s="64">
        <v>2</v>
      </c>
      <c r="C88" s="25"/>
      <c r="D88" s="28" t="s">
        <v>335</v>
      </c>
      <c r="E88" s="28" t="s">
        <v>1058</v>
      </c>
      <c r="F88" s="58"/>
      <c r="G88" s="78" t="s">
        <v>1081</v>
      </c>
    </row>
    <row r="89" spans="1:7" ht="15.75" thickBot="1" x14ac:dyDescent="0.3">
      <c r="A89" s="64">
        <v>0</v>
      </c>
      <c r="B89" s="64">
        <v>2</v>
      </c>
      <c r="C89" s="25"/>
      <c r="D89" s="28" t="s">
        <v>338</v>
      </c>
      <c r="E89" s="28" t="s">
        <v>1060</v>
      </c>
      <c r="F89" s="29">
        <f>F84-F88</f>
        <v>0</v>
      </c>
      <c r="G89" s="76" t="s">
        <v>1082</v>
      </c>
    </row>
    <row r="90" spans="1:7" ht="15.75" thickBot="1" x14ac:dyDescent="0.3">
      <c r="A90" s="64">
        <v>0</v>
      </c>
      <c r="B90" s="64">
        <v>2</v>
      </c>
      <c r="E90" s="45" t="s">
        <v>1083</v>
      </c>
      <c r="F90" s="46">
        <f>IFERROR(F86/F85,0)</f>
        <v>0</v>
      </c>
      <c r="G90" s="37" t="s">
        <v>1084</v>
      </c>
    </row>
    <row r="91" spans="1:7" ht="15.75" thickBot="1" x14ac:dyDescent="0.3">
      <c r="A91" s="64">
        <v>0</v>
      </c>
      <c r="B91" s="64">
        <v>2</v>
      </c>
      <c r="E91" s="45" t="s">
        <v>1069</v>
      </c>
      <c r="F91" s="46">
        <f>IFERROR(F88/F84,0)</f>
        <v>0</v>
      </c>
      <c r="G91" s="37" t="s">
        <v>1085</v>
      </c>
    </row>
    <row r="92" spans="1:7" ht="30.75" thickBot="1" x14ac:dyDescent="0.3">
      <c r="A92" s="64">
        <v>0</v>
      </c>
      <c r="B92" s="64">
        <v>2</v>
      </c>
      <c r="E92" s="47" t="s">
        <v>1086</v>
      </c>
      <c r="F92" s="44">
        <f>IF(F83=0,F90*(GlobalSettings!$C$6-0.01),F90)</f>
        <v>0</v>
      </c>
      <c r="G92" s="37" t="s">
        <v>1087</v>
      </c>
    </row>
    <row r="94" spans="1:7" s="1" customFormat="1" ht="45" customHeight="1" x14ac:dyDescent="0.25">
      <c r="A94" s="64">
        <v>0</v>
      </c>
      <c r="B94" s="64">
        <v>2</v>
      </c>
      <c r="C94" s="112"/>
      <c r="D94" s="112"/>
      <c r="E94" s="152" t="s">
        <v>2080</v>
      </c>
      <c r="F94" s="147" t="s">
        <v>2053</v>
      </c>
      <c r="G94" s="159"/>
    </row>
    <row r="95" spans="1:7" s="1" customFormat="1" x14ac:dyDescent="0.25">
      <c r="A95" s="64"/>
      <c r="B95" s="64"/>
      <c r="C95" s="112"/>
      <c r="D95" s="112"/>
      <c r="E95" s="112"/>
      <c r="F95" s="56"/>
      <c r="G95" s="150"/>
    </row>
    <row r="96" spans="1:7" x14ac:dyDescent="0.25">
      <c r="A96" s="64">
        <v>9</v>
      </c>
      <c r="B96" s="64">
        <v>2</v>
      </c>
      <c r="C96" s="146">
        <v>7.07</v>
      </c>
      <c r="D96" s="215" t="s">
        <v>222</v>
      </c>
      <c r="E96" s="215"/>
      <c r="F96" s="27" t="s">
        <v>320</v>
      </c>
      <c r="G96" s="146" t="s">
        <v>321</v>
      </c>
    </row>
    <row r="97" spans="1:7" ht="30" x14ac:dyDescent="0.25">
      <c r="A97" s="64">
        <v>9</v>
      </c>
      <c r="B97" s="64">
        <v>2</v>
      </c>
      <c r="C97" s="25"/>
      <c r="D97" s="28" t="s">
        <v>322</v>
      </c>
      <c r="E97" s="28" t="s">
        <v>1088</v>
      </c>
      <c r="F97" s="31"/>
      <c r="G97" s="32" t="s">
        <v>1089</v>
      </c>
    </row>
    <row r="98" spans="1:7" x14ac:dyDescent="0.25">
      <c r="A98" s="64">
        <v>9</v>
      </c>
      <c r="B98" s="64">
        <v>2</v>
      </c>
      <c r="C98" s="25"/>
      <c r="D98" s="28" t="s">
        <v>327</v>
      </c>
      <c r="E98" s="28" t="s">
        <v>1090</v>
      </c>
      <c r="F98" s="29">
        <f>F97-F99</f>
        <v>0</v>
      </c>
      <c r="G98" s="30" t="s">
        <v>1091</v>
      </c>
    </row>
    <row r="99" spans="1:7" x14ac:dyDescent="0.25">
      <c r="A99" s="64">
        <v>9</v>
      </c>
      <c r="B99" s="64">
        <v>2</v>
      </c>
      <c r="C99" s="25"/>
      <c r="D99" s="28" t="s">
        <v>330</v>
      </c>
      <c r="E99" s="28" t="s">
        <v>1092</v>
      </c>
      <c r="F99" s="31"/>
      <c r="G99" s="32" t="s">
        <v>1093</v>
      </c>
    </row>
    <row r="100" spans="1:7" ht="30.75" thickBot="1" x14ac:dyDescent="0.3">
      <c r="A100" s="64">
        <v>9</v>
      </c>
      <c r="B100" s="64">
        <v>2</v>
      </c>
      <c r="C100" s="25"/>
      <c r="D100" s="28" t="s">
        <v>332</v>
      </c>
      <c r="E100" s="28" t="s">
        <v>1094</v>
      </c>
      <c r="F100" s="31"/>
      <c r="G100" s="32" t="s">
        <v>1095</v>
      </c>
    </row>
    <row r="101" spans="1:7" ht="15.75" thickBot="1" x14ac:dyDescent="0.3">
      <c r="A101" s="64">
        <v>9</v>
      </c>
      <c r="B101" s="64">
        <v>2</v>
      </c>
      <c r="E101" s="45" t="s">
        <v>1096</v>
      </c>
      <c r="F101" s="46">
        <f>IFERROR(F99/F97,0)</f>
        <v>0</v>
      </c>
      <c r="G101" s="37" t="s">
        <v>436</v>
      </c>
    </row>
    <row r="102" spans="1:7" ht="15.75" thickBot="1" x14ac:dyDescent="0.3">
      <c r="A102" s="64">
        <v>9</v>
      </c>
      <c r="B102" s="64">
        <v>2</v>
      </c>
      <c r="E102" s="47" t="s">
        <v>1097</v>
      </c>
      <c r="F102" s="44">
        <f>F101</f>
        <v>0</v>
      </c>
      <c r="G102" s="37"/>
    </row>
    <row r="104" spans="1:7" s="1" customFormat="1" ht="45" customHeight="1" x14ac:dyDescent="0.25">
      <c r="A104" s="64">
        <v>9</v>
      </c>
      <c r="B104" s="64">
        <v>2</v>
      </c>
      <c r="C104" s="112"/>
      <c r="D104" s="112"/>
      <c r="E104" s="152" t="s">
        <v>2080</v>
      </c>
      <c r="F104" s="147" t="s">
        <v>2053</v>
      </c>
      <c r="G104" s="159"/>
    </row>
    <row r="105" spans="1:7" s="1" customFormat="1" x14ac:dyDescent="0.25">
      <c r="A105" s="64"/>
      <c r="B105" s="64"/>
      <c r="C105" s="112"/>
      <c r="D105" s="112"/>
      <c r="E105" s="112"/>
      <c r="F105" s="56"/>
      <c r="G105" s="150"/>
    </row>
  </sheetData>
  <sheetProtection algorithmName="SHA-512" hashValue="wG9TuUQCsehdGoASBLi3B8c/72vbPxUOGclxrFLa4K3R7TK5e7b5BY61BysyW2/xRk1Zmbp3r3qqO2IfTCk2Hw==" saltValue="mLhYMwFqJQRoUxMckuu8Zw==" spinCount="100000" sheet="1" formatRows="0" selectLockedCells="1"/>
  <mergeCells count="8">
    <mergeCell ref="D61:E61"/>
    <mergeCell ref="D82:E82"/>
    <mergeCell ref="D96:E96"/>
    <mergeCell ref="C2:E2"/>
    <mergeCell ref="D4:E4"/>
    <mergeCell ref="D12:E12"/>
    <mergeCell ref="D23:E23"/>
    <mergeCell ref="D42:E42"/>
  </mergeCells>
  <conditionalFormatting sqref="E1:E1048576">
    <cfRule type="containsText" dxfId="37" priority="2" operator="containsText" text="Safeguard Scoring Complete">
      <formula>NOT(ISERROR(SEARCH("Safeguard Scoring Complete",E1)))</formula>
    </cfRule>
    <cfRule type="containsText" dxfId="36" priority="10" operator="containsText" text="Safeguard Scoring Incomplete">
      <formula>NOT(ISERROR(SEARCH("Safeguard Scoring Incomplete",E1)))</formula>
    </cfRule>
  </conditionalFormatting>
  <dataValidations count="3">
    <dataValidation type="list" allowBlank="1" showInputMessage="1" showErrorMessage="1" sqref="F2" xr:uid="{BEF70E61-3B73-4663-AEC4-1D65C5BCE8E1}">
      <formula1>"Assessed,Not Assessed"</formula1>
    </dataValidation>
    <dataValidation type="list" allowBlank="1" showInputMessage="1" showErrorMessage="1" sqref="F15:F17" xr:uid="{0CC10CA3-7592-4AA4-8BBE-7B38E546DAD7}">
      <formula1>"0,1"</formula1>
    </dataValidation>
    <dataValidation type="list" allowBlank="1" showInputMessage="1" showErrorMessage="1" sqref="E10 E21 E40 E59 E80 E94 E104" xr:uid="{FE501966-FA8F-4F8C-9843-0E6FDA2103BA}">
      <formula1>"Safeguard Scoring Complete,Safeguard Scoring Incomplete"</formula1>
    </dataValidation>
  </dataValidations>
  <hyperlinks>
    <hyperlink ref="G2" r:id="rId1" xr:uid="{87210E42-959A-42A1-ABA3-9BD779DB76F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A2A76B68-AD88-45AA-B32A-9C7AA7DF54B0}">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45B9B-C60E-4864-B10C-3AB6761F0DA5}">
  <sheetPr codeName="Sheet11"/>
  <dimension ref="A2:G149"/>
  <sheetViews>
    <sheetView showGridLines="0" topLeftCell="A51" zoomScaleNormal="100" workbookViewId="0">
      <selection activeCell="G51" sqref="G51"/>
    </sheetView>
  </sheetViews>
  <sheetFormatPr defaultColWidth="9.140625" defaultRowHeight="15" x14ac:dyDescent="0.25"/>
  <cols>
    <col min="1" max="2" width="2.7109375" style="66" customWidth="1"/>
    <col min="3" max="3" width="5.7109375" style="54"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1098</v>
      </c>
      <c r="D2" s="214"/>
      <c r="E2" s="214"/>
      <c r="F2" s="100" t="s">
        <v>318</v>
      </c>
      <c r="G2" s="208" t="s">
        <v>2192</v>
      </c>
    </row>
    <row r="4" spans="1:7" x14ac:dyDescent="0.25">
      <c r="A4" s="66">
        <v>0</v>
      </c>
      <c r="B4" s="66">
        <v>1</v>
      </c>
      <c r="C4" s="52">
        <v>8.01</v>
      </c>
      <c r="D4" s="215" t="s">
        <v>223</v>
      </c>
      <c r="E4" s="215"/>
      <c r="F4" s="27" t="s">
        <v>320</v>
      </c>
      <c r="G4" s="146" t="s">
        <v>321</v>
      </c>
    </row>
    <row r="5" spans="1:7" x14ac:dyDescent="0.25">
      <c r="A5" s="66">
        <v>0</v>
      </c>
      <c r="B5" s="66">
        <v>1</v>
      </c>
      <c r="C5" s="53"/>
      <c r="D5" s="28" t="s">
        <v>322</v>
      </c>
      <c r="E5" s="28" t="s">
        <v>1099</v>
      </c>
      <c r="F5" s="57">
        <f>IF(Artifacts!$E$23="Artifact Provided",1,0)</f>
        <v>0</v>
      </c>
      <c r="G5" s="76" t="s">
        <v>324</v>
      </c>
    </row>
    <row r="6" spans="1:7" x14ac:dyDescent="0.25">
      <c r="A6" s="66">
        <v>0</v>
      </c>
      <c r="B6" s="66">
        <v>1</v>
      </c>
      <c r="C6" s="53"/>
      <c r="D6" s="28" t="s">
        <v>400</v>
      </c>
      <c r="E6" s="126" t="s">
        <v>1100</v>
      </c>
      <c r="F6" s="31"/>
      <c r="G6" s="76" t="s">
        <v>402</v>
      </c>
    </row>
    <row r="7" spans="1:7" x14ac:dyDescent="0.25">
      <c r="A7" s="66">
        <v>0</v>
      </c>
      <c r="B7" s="66">
        <v>1</v>
      </c>
      <c r="C7" s="53"/>
      <c r="D7" s="28" t="s">
        <v>403</v>
      </c>
      <c r="E7" s="126" t="s">
        <v>1101</v>
      </c>
      <c r="F7" s="31"/>
      <c r="G7" s="76" t="s">
        <v>402</v>
      </c>
    </row>
    <row r="8" spans="1:7" x14ac:dyDescent="0.25">
      <c r="A8" s="66">
        <v>0</v>
      </c>
      <c r="B8" s="66">
        <v>1</v>
      </c>
      <c r="C8" s="53"/>
      <c r="D8" s="28" t="s">
        <v>405</v>
      </c>
      <c r="E8" s="126" t="s">
        <v>1102</v>
      </c>
      <c r="F8" s="31"/>
      <c r="G8" s="76" t="s">
        <v>402</v>
      </c>
    </row>
    <row r="9" spans="1:7" ht="15.75" thickBot="1" x14ac:dyDescent="0.3">
      <c r="A9" s="66">
        <v>0</v>
      </c>
      <c r="B9" s="66">
        <v>1</v>
      </c>
      <c r="C9" s="53"/>
      <c r="D9" s="28" t="s">
        <v>330</v>
      </c>
      <c r="E9" s="28" t="s">
        <v>1103</v>
      </c>
      <c r="F9" s="59">
        <f>DATEDIF(Artifacts!$F$23,GlobalSettings!$C$4,"m")</f>
        <v>1508</v>
      </c>
      <c r="G9" s="77" t="s">
        <v>1104</v>
      </c>
    </row>
    <row r="10" spans="1:7" ht="15.75" thickBot="1" x14ac:dyDescent="0.3">
      <c r="A10" s="66">
        <v>0</v>
      </c>
      <c r="B10" s="66">
        <v>1</v>
      </c>
      <c r="E10" s="45" t="s">
        <v>1105</v>
      </c>
      <c r="F10" s="46">
        <f>IFERROR(SUM(F6:F8)/3,0)</f>
        <v>0</v>
      </c>
      <c r="G10" s="37" t="s">
        <v>1106</v>
      </c>
    </row>
    <row r="11" spans="1:7" ht="15.75" thickBot="1" x14ac:dyDescent="0.3">
      <c r="A11" s="66">
        <v>0</v>
      </c>
      <c r="B11" s="66">
        <v>1</v>
      </c>
      <c r="E11" s="47" t="s">
        <v>1107</v>
      </c>
      <c r="F11" s="44">
        <f>IF(F5=0,0,IF(F9&lt;=GlobalSettings!$C$8,F10,IF(GlobalSettings!$C$10="No",0,F10*(GlobalSettings!$C$6-0.01))))</f>
        <v>0</v>
      </c>
      <c r="G11" s="37" t="s">
        <v>1108</v>
      </c>
    </row>
    <row r="13" spans="1:7" s="1" customFormat="1" ht="45" customHeight="1" x14ac:dyDescent="0.25">
      <c r="A13" s="66">
        <v>0</v>
      </c>
      <c r="B13" s="66">
        <v>1</v>
      </c>
      <c r="C13" s="112"/>
      <c r="D13" s="112"/>
      <c r="E13" s="152" t="s">
        <v>2080</v>
      </c>
      <c r="F13" s="147" t="s">
        <v>2053</v>
      </c>
      <c r="G13" s="159"/>
    </row>
    <row r="14" spans="1:7" s="1" customFormat="1" x14ac:dyDescent="0.25">
      <c r="A14" s="64"/>
      <c r="B14" s="64"/>
      <c r="C14" s="112"/>
      <c r="D14" s="112"/>
      <c r="E14" s="112"/>
      <c r="F14" s="56"/>
      <c r="G14" s="150"/>
    </row>
    <row r="15" spans="1:7" x14ac:dyDescent="0.25">
      <c r="A15" s="66">
        <v>0</v>
      </c>
      <c r="B15" s="66">
        <v>1</v>
      </c>
      <c r="C15" s="52">
        <v>8.02</v>
      </c>
      <c r="D15" s="215" t="s">
        <v>224</v>
      </c>
      <c r="E15" s="215"/>
      <c r="F15" s="27" t="s">
        <v>320</v>
      </c>
      <c r="G15" s="146" t="s">
        <v>321</v>
      </c>
    </row>
    <row r="16" spans="1:7" x14ac:dyDescent="0.25">
      <c r="A16" s="66">
        <v>0</v>
      </c>
      <c r="B16" s="66">
        <v>1</v>
      </c>
      <c r="C16" s="53"/>
      <c r="D16" s="28" t="s">
        <v>322</v>
      </c>
      <c r="E16" s="28" t="s">
        <v>1109</v>
      </c>
      <c r="F16" s="58"/>
      <c r="G16" s="78" t="s">
        <v>737</v>
      </c>
    </row>
    <row r="17" spans="1:7" x14ac:dyDescent="0.25">
      <c r="A17" s="66">
        <v>0</v>
      </c>
      <c r="B17" s="66">
        <v>1</v>
      </c>
      <c r="C17" s="53"/>
      <c r="D17" s="28" t="s">
        <v>327</v>
      </c>
      <c r="E17" s="28" t="s">
        <v>1110</v>
      </c>
      <c r="F17" s="58"/>
      <c r="G17" s="78" t="s">
        <v>737</v>
      </c>
    </row>
    <row r="18" spans="1:7" ht="30" x14ac:dyDescent="0.25">
      <c r="A18" s="66">
        <v>0</v>
      </c>
      <c r="B18" s="66">
        <v>1</v>
      </c>
      <c r="C18" s="53"/>
      <c r="D18" s="28" t="s">
        <v>400</v>
      </c>
      <c r="E18" s="126" t="s">
        <v>1111</v>
      </c>
      <c r="F18" s="31"/>
      <c r="G18" s="77" t="s">
        <v>1112</v>
      </c>
    </row>
    <row r="19" spans="1:7" ht="30" x14ac:dyDescent="0.25">
      <c r="A19" s="66">
        <v>0</v>
      </c>
      <c r="B19" s="66">
        <v>1</v>
      </c>
      <c r="C19" s="53"/>
      <c r="D19" s="28" t="s">
        <v>403</v>
      </c>
      <c r="E19" s="126" t="s">
        <v>1113</v>
      </c>
      <c r="F19" s="31"/>
      <c r="G19" s="77" t="s">
        <v>1114</v>
      </c>
    </row>
    <row r="20" spans="1:7" ht="30" x14ac:dyDescent="0.25">
      <c r="A20" s="66">
        <v>0</v>
      </c>
      <c r="B20" s="66">
        <v>1</v>
      </c>
      <c r="C20" s="53"/>
      <c r="D20" s="28" t="s">
        <v>405</v>
      </c>
      <c r="E20" s="126" t="s">
        <v>1115</v>
      </c>
      <c r="F20" s="31"/>
      <c r="G20" s="77" t="s">
        <v>1116</v>
      </c>
    </row>
    <row r="21" spans="1:7" ht="15.75" thickBot="1" x14ac:dyDescent="0.3">
      <c r="A21" s="66">
        <v>0</v>
      </c>
      <c r="B21" s="66">
        <v>1</v>
      </c>
      <c r="D21" s="28" t="s">
        <v>330</v>
      </c>
      <c r="E21" s="28" t="s">
        <v>1117</v>
      </c>
      <c r="F21" s="29">
        <f>F16-F17</f>
        <v>0</v>
      </c>
      <c r="G21" s="77" t="s">
        <v>754</v>
      </c>
    </row>
    <row r="22" spans="1:7" ht="15.75" thickBot="1" x14ac:dyDescent="0.3">
      <c r="A22" s="66">
        <v>0</v>
      </c>
      <c r="B22" s="66">
        <v>1</v>
      </c>
      <c r="E22" s="45" t="s">
        <v>1118</v>
      </c>
      <c r="F22" s="46">
        <f>IFERROR(F17/F16,0)</f>
        <v>0</v>
      </c>
      <c r="G22" s="37" t="s">
        <v>2184</v>
      </c>
    </row>
    <row r="23" spans="1:7" ht="15.75" thickBot="1" x14ac:dyDescent="0.3">
      <c r="A23" s="66">
        <v>0</v>
      </c>
      <c r="B23" s="66">
        <v>1</v>
      </c>
      <c r="E23" s="47" t="s">
        <v>1119</v>
      </c>
      <c r="F23" s="44">
        <f>IF(F17=0,(SUM(F18:F20)/3),F22)</f>
        <v>0</v>
      </c>
      <c r="G23" s="37" t="s">
        <v>1120</v>
      </c>
    </row>
    <row r="25" spans="1:7" s="1" customFormat="1" ht="45" customHeight="1" x14ac:dyDescent="0.25">
      <c r="A25" s="66">
        <v>0</v>
      </c>
      <c r="B25" s="66">
        <v>1</v>
      </c>
      <c r="C25" s="112"/>
      <c r="D25" s="112"/>
      <c r="E25" s="152" t="s">
        <v>2080</v>
      </c>
      <c r="F25" s="147" t="s">
        <v>2053</v>
      </c>
      <c r="G25" s="159"/>
    </row>
    <row r="26" spans="1:7" s="1" customFormat="1" x14ac:dyDescent="0.25">
      <c r="A26" s="64"/>
      <c r="B26" s="64"/>
      <c r="C26" s="112"/>
      <c r="D26" s="112"/>
      <c r="E26" s="112"/>
      <c r="F26" s="56"/>
      <c r="G26" s="150"/>
    </row>
    <row r="27" spans="1:7" x14ac:dyDescent="0.25">
      <c r="A27" s="66">
        <v>0</v>
      </c>
      <c r="B27" s="66">
        <v>1</v>
      </c>
      <c r="C27" s="52">
        <v>8.0299999999999994</v>
      </c>
      <c r="D27" s="215" t="s">
        <v>225</v>
      </c>
      <c r="E27" s="215"/>
      <c r="F27" s="27" t="s">
        <v>320</v>
      </c>
      <c r="G27" s="146" t="s">
        <v>321</v>
      </c>
    </row>
    <row r="28" spans="1:7" x14ac:dyDescent="0.25">
      <c r="A28" s="66">
        <v>0</v>
      </c>
      <c r="B28" s="66">
        <v>1</v>
      </c>
      <c r="C28" s="53"/>
      <c r="D28" s="28" t="s">
        <v>322</v>
      </c>
      <c r="E28" s="28" t="s">
        <v>1109</v>
      </c>
      <c r="F28" s="58"/>
      <c r="G28" s="78" t="s">
        <v>737</v>
      </c>
    </row>
    <row r="29" spans="1:7" x14ac:dyDescent="0.25">
      <c r="A29" s="66">
        <v>0</v>
      </c>
      <c r="B29" s="66">
        <v>1</v>
      </c>
      <c r="C29" s="53"/>
      <c r="D29" s="28" t="s">
        <v>327</v>
      </c>
      <c r="E29" s="28" t="s">
        <v>1121</v>
      </c>
      <c r="F29" s="58"/>
      <c r="G29" s="78" t="s">
        <v>737</v>
      </c>
    </row>
    <row r="30" spans="1:7" x14ac:dyDescent="0.25">
      <c r="A30" s="66">
        <v>0</v>
      </c>
      <c r="B30" s="66">
        <v>1</v>
      </c>
      <c r="C30" s="53"/>
      <c r="D30" s="28" t="s">
        <v>400</v>
      </c>
      <c r="E30" s="126" t="s">
        <v>1122</v>
      </c>
      <c r="F30" s="31"/>
      <c r="G30" s="77" t="s">
        <v>1123</v>
      </c>
    </row>
    <row r="31" spans="1:7" x14ac:dyDescent="0.25">
      <c r="A31" s="66">
        <v>0</v>
      </c>
      <c r="B31" s="66">
        <v>1</v>
      </c>
      <c r="C31" s="53"/>
      <c r="D31" s="28" t="s">
        <v>403</v>
      </c>
      <c r="E31" s="126" t="s">
        <v>1124</v>
      </c>
      <c r="F31" s="31"/>
      <c r="G31" s="77" t="s">
        <v>1125</v>
      </c>
    </row>
    <row r="32" spans="1:7" x14ac:dyDescent="0.25">
      <c r="A32" s="66">
        <v>0</v>
      </c>
      <c r="B32" s="66">
        <v>1</v>
      </c>
      <c r="C32" s="53"/>
      <c r="D32" s="28" t="s">
        <v>405</v>
      </c>
      <c r="E32" s="126" t="s">
        <v>1126</v>
      </c>
      <c r="F32" s="31"/>
      <c r="G32" s="77" t="s">
        <v>1127</v>
      </c>
    </row>
    <row r="33" spans="1:7" x14ac:dyDescent="0.25">
      <c r="A33" s="66">
        <v>0</v>
      </c>
      <c r="B33" s="66">
        <v>1</v>
      </c>
      <c r="C33" s="53"/>
      <c r="D33" s="28" t="s">
        <v>407</v>
      </c>
      <c r="E33" s="126" t="s">
        <v>1128</v>
      </c>
      <c r="F33" s="31"/>
      <c r="G33" s="77" t="s">
        <v>1129</v>
      </c>
    </row>
    <row r="34" spans="1:7" x14ac:dyDescent="0.25">
      <c r="A34" s="66">
        <v>0</v>
      </c>
      <c r="B34" s="66">
        <v>1</v>
      </c>
      <c r="C34" s="53"/>
      <c r="D34" s="28" t="s">
        <v>409</v>
      </c>
      <c r="E34" s="126" t="s">
        <v>1130</v>
      </c>
      <c r="F34" s="31"/>
      <c r="G34" s="77" t="s">
        <v>1131</v>
      </c>
    </row>
    <row r="35" spans="1:7" x14ac:dyDescent="0.25">
      <c r="A35" s="66">
        <v>0</v>
      </c>
      <c r="B35" s="66">
        <v>1</v>
      </c>
      <c r="C35" s="53"/>
      <c r="D35" s="28" t="s">
        <v>411</v>
      </c>
      <c r="E35" s="126" t="s">
        <v>1132</v>
      </c>
      <c r="F35" s="31"/>
      <c r="G35" s="77" t="s">
        <v>1133</v>
      </c>
    </row>
    <row r="36" spans="1:7" x14ac:dyDescent="0.25">
      <c r="A36" s="66">
        <v>0</v>
      </c>
      <c r="B36" s="66">
        <v>1</v>
      </c>
      <c r="D36" s="28" t="s">
        <v>747</v>
      </c>
      <c r="E36" s="126" t="s">
        <v>1134</v>
      </c>
      <c r="F36" s="31"/>
      <c r="G36" s="77" t="s">
        <v>1135</v>
      </c>
    </row>
    <row r="37" spans="1:7" ht="15.75" thickBot="1" x14ac:dyDescent="0.3">
      <c r="A37" s="66">
        <v>0</v>
      </c>
      <c r="B37" s="66">
        <v>1</v>
      </c>
      <c r="D37" s="28" t="s">
        <v>330</v>
      </c>
      <c r="E37" s="28" t="s">
        <v>1136</v>
      </c>
      <c r="F37" s="29">
        <f>F28-F29</f>
        <v>0</v>
      </c>
      <c r="G37" s="77" t="s">
        <v>754</v>
      </c>
    </row>
    <row r="38" spans="1:7" ht="15.75" thickBot="1" x14ac:dyDescent="0.3">
      <c r="A38" s="66">
        <v>0</v>
      </c>
      <c r="B38" s="66">
        <v>1</v>
      </c>
      <c r="E38" s="45" t="s">
        <v>1137</v>
      </c>
      <c r="F38" s="46">
        <f>IFERROR(F29/F28,0)</f>
        <v>0</v>
      </c>
      <c r="G38" s="37" t="s">
        <v>2184</v>
      </c>
    </row>
    <row r="39" spans="1:7" ht="15.75" thickBot="1" x14ac:dyDescent="0.3">
      <c r="A39" s="66">
        <v>0</v>
      </c>
      <c r="B39" s="66">
        <v>1</v>
      </c>
      <c r="E39" s="47" t="s">
        <v>1138</v>
      </c>
      <c r="F39" s="44">
        <f>IF(F29=0,(SUM(F30:F36)/7),F38)</f>
        <v>0</v>
      </c>
      <c r="G39" s="37" t="s">
        <v>1139</v>
      </c>
    </row>
    <row r="41" spans="1:7" s="1" customFormat="1" ht="45" customHeight="1" x14ac:dyDescent="0.25">
      <c r="A41" s="66">
        <v>0</v>
      </c>
      <c r="B41" s="66">
        <v>1</v>
      </c>
      <c r="C41" s="112"/>
      <c r="D41" s="112"/>
      <c r="E41" s="152" t="s">
        <v>2080</v>
      </c>
      <c r="F41" s="147" t="s">
        <v>2053</v>
      </c>
      <c r="G41" s="159"/>
    </row>
    <row r="42" spans="1:7" s="1" customFormat="1" x14ac:dyDescent="0.25">
      <c r="A42" s="64"/>
      <c r="B42" s="64"/>
      <c r="C42" s="112"/>
      <c r="D42" s="112"/>
      <c r="E42" s="112"/>
      <c r="F42" s="56"/>
      <c r="G42" s="150"/>
    </row>
    <row r="43" spans="1:7" x14ac:dyDescent="0.25">
      <c r="A43" s="66">
        <v>0</v>
      </c>
      <c r="B43" s="66">
        <v>2</v>
      </c>
      <c r="C43" s="52">
        <v>8.0399999999999991</v>
      </c>
      <c r="D43" s="215" t="s">
        <v>226</v>
      </c>
      <c r="E43" s="215"/>
      <c r="F43" s="27" t="s">
        <v>320</v>
      </c>
      <c r="G43" s="146" t="s">
        <v>321</v>
      </c>
    </row>
    <row r="44" spans="1:7" x14ac:dyDescent="0.25">
      <c r="A44" s="66">
        <v>0</v>
      </c>
      <c r="B44" s="66">
        <v>2</v>
      </c>
      <c r="C44" s="53"/>
      <c r="D44" s="28" t="s">
        <v>322</v>
      </c>
      <c r="E44" s="28" t="s">
        <v>1140</v>
      </c>
      <c r="F44" s="58"/>
      <c r="G44" s="78"/>
    </row>
    <row r="45" spans="1:7" x14ac:dyDescent="0.25">
      <c r="A45" s="66">
        <v>0</v>
      </c>
      <c r="B45" s="66">
        <v>2</v>
      </c>
      <c r="C45" s="53"/>
      <c r="D45" s="28" t="s">
        <v>327</v>
      </c>
      <c r="E45" s="28" t="s">
        <v>1141</v>
      </c>
      <c r="F45" s="58"/>
      <c r="G45" s="78"/>
    </row>
    <row r="46" spans="1:7" x14ac:dyDescent="0.25">
      <c r="A46" s="66">
        <v>0</v>
      </c>
      <c r="B46" s="66">
        <v>2</v>
      </c>
      <c r="C46" s="53"/>
      <c r="D46" s="28" t="s">
        <v>330</v>
      </c>
      <c r="E46" s="28" t="s">
        <v>1142</v>
      </c>
      <c r="F46" s="58"/>
      <c r="G46" s="78"/>
    </row>
    <row r="47" spans="1:7" ht="15.75" thickBot="1" x14ac:dyDescent="0.3">
      <c r="A47" s="66">
        <v>0</v>
      </c>
      <c r="B47" s="66">
        <v>2</v>
      </c>
      <c r="C47" s="53"/>
      <c r="D47" s="28" t="s">
        <v>332</v>
      </c>
      <c r="E47" s="28" t="s">
        <v>1143</v>
      </c>
      <c r="F47" s="29">
        <f>F44-(F45+F46)</f>
        <v>0</v>
      </c>
      <c r="G47" s="77" t="s">
        <v>1144</v>
      </c>
    </row>
    <row r="48" spans="1:7" ht="30.75" thickBot="1" x14ac:dyDescent="0.3">
      <c r="A48" s="66">
        <v>0</v>
      </c>
      <c r="B48" s="66">
        <v>2</v>
      </c>
      <c r="E48" s="45" t="s">
        <v>1145</v>
      </c>
      <c r="F48" s="46">
        <f>IFERROR(F45/F44,0)</f>
        <v>0</v>
      </c>
      <c r="G48" s="37" t="s">
        <v>378</v>
      </c>
    </row>
    <row r="49" spans="1:7" ht="15.75" thickBot="1" x14ac:dyDescent="0.3">
      <c r="A49" s="66">
        <v>0</v>
      </c>
      <c r="B49" s="66">
        <v>2</v>
      </c>
      <c r="E49" s="47" t="s">
        <v>1146</v>
      </c>
      <c r="F49" s="44">
        <f>F48</f>
        <v>0</v>
      </c>
      <c r="G49" s="37"/>
    </row>
    <row r="51" spans="1:7" s="1" customFormat="1" ht="45" customHeight="1" x14ac:dyDescent="0.25">
      <c r="A51" s="66">
        <v>0</v>
      </c>
      <c r="B51" s="66">
        <v>2</v>
      </c>
      <c r="C51" s="112"/>
      <c r="D51" s="112"/>
      <c r="E51" s="152" t="s">
        <v>2080</v>
      </c>
      <c r="F51" s="147" t="s">
        <v>2053</v>
      </c>
      <c r="G51" s="159"/>
    </row>
    <row r="52" spans="1:7" s="1" customFormat="1" x14ac:dyDescent="0.25">
      <c r="A52" s="64"/>
      <c r="B52" s="64"/>
      <c r="C52" s="112"/>
      <c r="D52" s="112"/>
      <c r="E52" s="112"/>
      <c r="F52" s="56"/>
      <c r="G52" s="150"/>
    </row>
    <row r="53" spans="1:7" x14ac:dyDescent="0.25">
      <c r="A53" s="66">
        <v>0</v>
      </c>
      <c r="B53" s="66">
        <v>2</v>
      </c>
      <c r="C53" s="52">
        <v>8.0500000000000007</v>
      </c>
      <c r="D53" s="215" t="s">
        <v>227</v>
      </c>
      <c r="E53" s="215"/>
      <c r="F53" s="27" t="s">
        <v>320</v>
      </c>
      <c r="G53" s="146" t="s">
        <v>321</v>
      </c>
    </row>
    <row r="54" spans="1:7" x14ac:dyDescent="0.25">
      <c r="A54" s="66">
        <v>0</v>
      </c>
      <c r="B54" s="66">
        <v>2</v>
      </c>
      <c r="C54" s="53"/>
      <c r="D54" s="28" t="s">
        <v>322</v>
      </c>
      <c r="E54" s="28" t="s">
        <v>1109</v>
      </c>
      <c r="F54" s="58"/>
      <c r="G54" s="78" t="s">
        <v>737</v>
      </c>
    </row>
    <row r="55" spans="1:7" x14ac:dyDescent="0.25">
      <c r="A55" s="66">
        <v>0</v>
      </c>
      <c r="B55" s="66">
        <v>2</v>
      </c>
      <c r="C55" s="53"/>
      <c r="D55" s="28" t="s">
        <v>327</v>
      </c>
      <c r="E55" s="28" t="s">
        <v>1147</v>
      </c>
      <c r="F55" s="58"/>
      <c r="G55" s="78" t="s">
        <v>1148</v>
      </c>
    </row>
    <row r="56" spans="1:7" x14ac:dyDescent="0.25">
      <c r="A56" s="66">
        <v>0</v>
      </c>
      <c r="B56" s="66">
        <v>2</v>
      </c>
      <c r="C56" s="53"/>
      <c r="D56" s="28" t="s">
        <v>330</v>
      </c>
      <c r="E56" s="28" t="s">
        <v>1149</v>
      </c>
      <c r="F56" s="58"/>
      <c r="G56" s="78" t="s">
        <v>737</v>
      </c>
    </row>
    <row r="57" spans="1:7" x14ac:dyDescent="0.25">
      <c r="A57" s="66">
        <v>0</v>
      </c>
      <c r="B57" s="66">
        <v>2</v>
      </c>
      <c r="C57" s="53"/>
      <c r="D57" s="28" t="s">
        <v>868</v>
      </c>
      <c r="E57" s="126" t="s">
        <v>1150</v>
      </c>
      <c r="F57" s="31"/>
      <c r="G57" s="76" t="s">
        <v>1151</v>
      </c>
    </row>
    <row r="58" spans="1:7" x14ac:dyDescent="0.25">
      <c r="A58" s="66">
        <v>0</v>
      </c>
      <c r="B58" s="66">
        <v>2</v>
      </c>
      <c r="C58" s="53"/>
      <c r="D58" s="28" t="s">
        <v>870</v>
      </c>
      <c r="E58" s="126" t="s">
        <v>1152</v>
      </c>
      <c r="F58" s="31"/>
      <c r="G58" s="76" t="s">
        <v>1153</v>
      </c>
    </row>
    <row r="59" spans="1:7" x14ac:dyDescent="0.25">
      <c r="A59" s="66">
        <v>0</v>
      </c>
      <c r="C59" s="53"/>
      <c r="D59" s="28" t="s">
        <v>872</v>
      </c>
      <c r="E59" s="126" t="s">
        <v>1154</v>
      </c>
      <c r="F59" s="31"/>
      <c r="G59" s="76" t="s">
        <v>1155</v>
      </c>
    </row>
    <row r="60" spans="1:7" x14ac:dyDescent="0.25">
      <c r="A60" s="66">
        <v>0</v>
      </c>
      <c r="B60" s="66">
        <v>2</v>
      </c>
      <c r="C60" s="53"/>
      <c r="D60" s="28" t="s">
        <v>874</v>
      </c>
      <c r="E60" s="126" t="s">
        <v>1156</v>
      </c>
      <c r="F60" s="31"/>
      <c r="G60" s="76" t="s">
        <v>1157</v>
      </c>
    </row>
    <row r="61" spans="1:7" x14ac:dyDescent="0.25">
      <c r="A61" s="66">
        <v>0</v>
      </c>
      <c r="B61" s="66">
        <v>2</v>
      </c>
      <c r="C61" s="53"/>
      <c r="D61" s="28" t="s">
        <v>1158</v>
      </c>
      <c r="E61" s="126" t="s">
        <v>1159</v>
      </c>
      <c r="F61" s="31"/>
      <c r="G61" s="76" t="s">
        <v>1160</v>
      </c>
    </row>
    <row r="62" spans="1:7" x14ac:dyDescent="0.25">
      <c r="A62" s="66">
        <v>0</v>
      </c>
      <c r="B62" s="66">
        <v>2</v>
      </c>
      <c r="C62" s="53"/>
      <c r="D62" s="28" t="s">
        <v>1161</v>
      </c>
      <c r="E62" s="126" t="s">
        <v>1162</v>
      </c>
      <c r="F62" s="31"/>
      <c r="G62" s="76" t="s">
        <v>1163</v>
      </c>
    </row>
    <row r="63" spans="1:7" x14ac:dyDescent="0.25">
      <c r="A63" s="66">
        <v>0</v>
      </c>
      <c r="B63" s="66">
        <v>2</v>
      </c>
      <c r="C63" s="53"/>
      <c r="D63" s="28" t="s">
        <v>1164</v>
      </c>
      <c r="E63" s="126" t="s">
        <v>1165</v>
      </c>
      <c r="F63" s="31"/>
      <c r="G63" s="76" t="s">
        <v>1166</v>
      </c>
    </row>
    <row r="64" spans="1:7" x14ac:dyDescent="0.25">
      <c r="A64" s="66">
        <v>0</v>
      </c>
      <c r="C64" s="53"/>
      <c r="D64" s="28" t="s">
        <v>1167</v>
      </c>
      <c r="E64" s="126" t="s">
        <v>1168</v>
      </c>
      <c r="F64" s="31"/>
      <c r="G64" s="76" t="s">
        <v>1169</v>
      </c>
    </row>
    <row r="65" spans="1:7" x14ac:dyDescent="0.25">
      <c r="A65" s="66">
        <v>0</v>
      </c>
      <c r="B65" s="66">
        <v>2</v>
      </c>
      <c r="C65" s="53"/>
      <c r="D65" s="28" t="s">
        <v>1170</v>
      </c>
      <c r="E65" s="126" t="s">
        <v>1171</v>
      </c>
      <c r="F65" s="31"/>
      <c r="G65" s="76" t="s">
        <v>1172</v>
      </c>
    </row>
    <row r="66" spans="1:7" x14ac:dyDescent="0.25">
      <c r="A66" s="66">
        <v>0</v>
      </c>
      <c r="B66" s="66">
        <v>2</v>
      </c>
      <c r="C66" s="53"/>
      <c r="D66" s="28" t="s">
        <v>1173</v>
      </c>
      <c r="E66" s="126" t="s">
        <v>1174</v>
      </c>
      <c r="F66" s="31"/>
      <c r="G66" s="76" t="s">
        <v>1175</v>
      </c>
    </row>
    <row r="67" spans="1:7" x14ac:dyDescent="0.25">
      <c r="A67" s="66">
        <v>0</v>
      </c>
      <c r="B67" s="66">
        <v>2</v>
      </c>
      <c r="C67" s="53"/>
      <c r="D67" s="28" t="s">
        <v>1176</v>
      </c>
      <c r="E67" s="126" t="s">
        <v>1177</v>
      </c>
      <c r="F67" s="31"/>
      <c r="G67" s="76" t="s">
        <v>1178</v>
      </c>
    </row>
    <row r="68" spans="1:7" x14ac:dyDescent="0.25">
      <c r="A68" s="66">
        <v>0</v>
      </c>
      <c r="B68" s="66">
        <v>2</v>
      </c>
      <c r="C68" s="53"/>
      <c r="D68" s="28" t="s">
        <v>1179</v>
      </c>
      <c r="E68" s="126" t="s">
        <v>1180</v>
      </c>
      <c r="F68" s="31"/>
      <c r="G68" s="76" t="s">
        <v>1181</v>
      </c>
    </row>
    <row r="69" spans="1:7" ht="30" x14ac:dyDescent="0.25">
      <c r="A69" s="66">
        <v>0</v>
      </c>
      <c r="C69" s="53"/>
      <c r="D69" s="28" t="s">
        <v>1182</v>
      </c>
      <c r="E69" s="126" t="s">
        <v>1183</v>
      </c>
      <c r="F69" s="31"/>
      <c r="G69" s="76" t="s">
        <v>1184</v>
      </c>
    </row>
    <row r="70" spans="1:7" x14ac:dyDescent="0.25">
      <c r="A70" s="66">
        <v>0</v>
      </c>
      <c r="B70" s="66">
        <v>2</v>
      </c>
      <c r="C70" s="53"/>
      <c r="D70" s="28" t="s">
        <v>1185</v>
      </c>
      <c r="E70" s="126" t="s">
        <v>1186</v>
      </c>
      <c r="F70" s="31"/>
      <c r="G70" s="76" t="s">
        <v>1187</v>
      </c>
    </row>
    <row r="71" spans="1:7" x14ac:dyDescent="0.25">
      <c r="A71" s="66">
        <v>0</v>
      </c>
      <c r="B71" s="66">
        <v>2</v>
      </c>
      <c r="C71" s="53"/>
      <c r="D71" s="28" t="s">
        <v>1188</v>
      </c>
      <c r="E71" s="126" t="s">
        <v>1189</v>
      </c>
      <c r="F71" s="31"/>
      <c r="G71" s="76" t="s">
        <v>1190</v>
      </c>
    </row>
    <row r="72" spans="1:7" x14ac:dyDescent="0.25">
      <c r="A72" s="66">
        <v>0</v>
      </c>
      <c r="B72" s="66">
        <v>2</v>
      </c>
      <c r="C72" s="53"/>
      <c r="D72" s="28" t="s">
        <v>1191</v>
      </c>
      <c r="E72" s="126" t="s">
        <v>1192</v>
      </c>
      <c r="F72" s="31"/>
      <c r="G72" s="76" t="s">
        <v>1193</v>
      </c>
    </row>
    <row r="73" spans="1:7" x14ac:dyDescent="0.25">
      <c r="A73" s="66">
        <v>0</v>
      </c>
      <c r="B73" s="66">
        <v>2</v>
      </c>
      <c r="C73" s="53"/>
      <c r="D73" s="28" t="s">
        <v>1194</v>
      </c>
      <c r="E73" s="126" t="s">
        <v>1195</v>
      </c>
      <c r="F73" s="31"/>
      <c r="G73" s="76" t="s">
        <v>1196</v>
      </c>
    </row>
    <row r="74" spans="1:7" x14ac:dyDescent="0.25">
      <c r="A74" s="66">
        <v>0</v>
      </c>
      <c r="C74" s="53"/>
      <c r="D74" s="28" t="s">
        <v>1197</v>
      </c>
      <c r="E74" s="126" t="s">
        <v>1198</v>
      </c>
      <c r="F74" s="31"/>
      <c r="G74" s="76" t="s">
        <v>1199</v>
      </c>
    </row>
    <row r="75" spans="1:7" x14ac:dyDescent="0.25">
      <c r="A75" s="66">
        <v>0</v>
      </c>
      <c r="B75" s="66">
        <v>2</v>
      </c>
      <c r="C75" s="53"/>
      <c r="D75" s="28" t="s">
        <v>1200</v>
      </c>
      <c r="E75" s="126" t="s">
        <v>1201</v>
      </c>
      <c r="F75" s="31"/>
      <c r="G75" s="76" t="s">
        <v>1202</v>
      </c>
    </row>
    <row r="76" spans="1:7" x14ac:dyDescent="0.25">
      <c r="A76" s="66">
        <v>0</v>
      </c>
      <c r="B76" s="66">
        <v>2</v>
      </c>
      <c r="C76" s="53"/>
      <c r="D76" s="28" t="s">
        <v>1203</v>
      </c>
      <c r="E76" s="126" t="s">
        <v>1204</v>
      </c>
      <c r="F76" s="31"/>
      <c r="G76" s="76" t="s">
        <v>1205</v>
      </c>
    </row>
    <row r="77" spans="1:7" x14ac:dyDescent="0.25">
      <c r="A77" s="66">
        <v>0</v>
      </c>
      <c r="B77" s="66">
        <v>2</v>
      </c>
      <c r="C77" s="53"/>
      <c r="D77" s="28" t="s">
        <v>1206</v>
      </c>
      <c r="E77" s="126" t="s">
        <v>1207</v>
      </c>
      <c r="F77" s="31"/>
      <c r="G77" s="76" t="s">
        <v>1208</v>
      </c>
    </row>
    <row r="78" spans="1:7" x14ac:dyDescent="0.25">
      <c r="A78" s="66">
        <v>0</v>
      </c>
      <c r="B78" s="66">
        <v>2</v>
      </c>
      <c r="D78" s="28" t="s">
        <v>1209</v>
      </c>
      <c r="E78" s="126" t="s">
        <v>1210</v>
      </c>
      <c r="F78" s="31"/>
      <c r="G78" s="76" t="s">
        <v>1211</v>
      </c>
    </row>
    <row r="79" spans="1:7" ht="30" x14ac:dyDescent="0.25">
      <c r="A79" s="66">
        <v>0</v>
      </c>
      <c r="B79" s="66">
        <v>2</v>
      </c>
      <c r="C79" s="53"/>
      <c r="D79" s="28" t="s">
        <v>1212</v>
      </c>
      <c r="E79" s="126" t="s">
        <v>1213</v>
      </c>
      <c r="F79" s="31"/>
      <c r="G79" s="76" t="s">
        <v>1214</v>
      </c>
    </row>
    <row r="80" spans="1:7" x14ac:dyDescent="0.25">
      <c r="A80" s="66">
        <v>0</v>
      </c>
      <c r="B80" s="66">
        <v>2</v>
      </c>
      <c r="C80" s="53"/>
      <c r="D80" s="28" t="s">
        <v>1215</v>
      </c>
      <c r="E80" s="126" t="s">
        <v>1216</v>
      </c>
      <c r="F80" s="31"/>
      <c r="G80" s="76" t="s">
        <v>1217</v>
      </c>
    </row>
    <row r="81" spans="1:7" ht="15.75" thickBot="1" x14ac:dyDescent="0.3">
      <c r="A81" s="66">
        <v>0</v>
      </c>
      <c r="B81" s="66">
        <v>2</v>
      </c>
      <c r="D81" s="28" t="s">
        <v>332</v>
      </c>
      <c r="E81" s="28" t="s">
        <v>1218</v>
      </c>
      <c r="F81" s="29">
        <f>F54-F56</f>
        <v>0</v>
      </c>
      <c r="G81" s="77" t="s">
        <v>885</v>
      </c>
    </row>
    <row r="82" spans="1:7" ht="15.75" thickBot="1" x14ac:dyDescent="0.3">
      <c r="A82" s="66">
        <v>0</v>
      </c>
      <c r="B82" s="66">
        <v>2</v>
      </c>
      <c r="E82" s="45" t="s">
        <v>1219</v>
      </c>
      <c r="F82" s="46">
        <f>F55/6</f>
        <v>0</v>
      </c>
      <c r="G82" s="37" t="s">
        <v>1220</v>
      </c>
    </row>
    <row r="83" spans="1:7" ht="15.75" thickBot="1" x14ac:dyDescent="0.3">
      <c r="A83" s="66">
        <v>0</v>
      </c>
      <c r="B83" s="66">
        <v>2</v>
      </c>
      <c r="E83" s="45" t="s">
        <v>1221</v>
      </c>
      <c r="F83" s="46">
        <f>IFERROR(F56/F54,0)</f>
        <v>0</v>
      </c>
      <c r="G83" s="37" t="s">
        <v>2183</v>
      </c>
    </row>
    <row r="84" spans="1:7" ht="15.75" thickBot="1" x14ac:dyDescent="0.3">
      <c r="A84" s="66">
        <v>0</v>
      </c>
      <c r="B84" s="66">
        <v>2</v>
      </c>
      <c r="E84" s="47" t="s">
        <v>1222</v>
      </c>
      <c r="F84" s="44">
        <f>IF(F56=0,(SUM(F57:F80)/24),F83)</f>
        <v>0</v>
      </c>
      <c r="G84" s="37" t="s">
        <v>1223</v>
      </c>
    </row>
    <row r="86" spans="1:7" s="1" customFormat="1" ht="45" customHeight="1" x14ac:dyDescent="0.25">
      <c r="A86" s="66">
        <v>0</v>
      </c>
      <c r="B86" s="66">
        <v>2</v>
      </c>
      <c r="C86" s="66">
        <v>2</v>
      </c>
      <c r="D86" s="112"/>
      <c r="E86" s="152" t="s">
        <v>2080</v>
      </c>
      <c r="F86" s="147" t="s">
        <v>2053</v>
      </c>
      <c r="G86" s="159"/>
    </row>
    <row r="87" spans="1:7" s="1" customFormat="1" x14ac:dyDescent="0.25">
      <c r="A87" s="64"/>
      <c r="B87" s="64"/>
      <c r="C87" s="112"/>
      <c r="D87" s="112"/>
      <c r="E87" s="112"/>
      <c r="F87" s="56"/>
      <c r="G87" s="150"/>
    </row>
    <row r="88" spans="1:7" x14ac:dyDescent="0.25">
      <c r="A88" s="66">
        <v>9</v>
      </c>
      <c r="B88" s="66">
        <v>2</v>
      </c>
      <c r="C88" s="52">
        <v>8.06</v>
      </c>
      <c r="D88" s="215" t="s">
        <v>228</v>
      </c>
      <c r="E88" s="215"/>
      <c r="F88" s="27" t="s">
        <v>320</v>
      </c>
      <c r="G88" s="146" t="s">
        <v>321</v>
      </c>
    </row>
    <row r="89" spans="1:7" x14ac:dyDescent="0.25">
      <c r="A89" s="66">
        <v>9</v>
      </c>
      <c r="B89" s="66">
        <v>2</v>
      </c>
      <c r="C89" s="53"/>
      <c r="D89" s="28" t="s">
        <v>322</v>
      </c>
      <c r="E89" s="28" t="s">
        <v>1224</v>
      </c>
      <c r="F89" s="31"/>
      <c r="G89" s="32" t="s">
        <v>1225</v>
      </c>
    </row>
    <row r="90" spans="1:7" x14ac:dyDescent="0.25">
      <c r="A90" s="66">
        <v>9</v>
      </c>
      <c r="B90" s="66">
        <v>2</v>
      </c>
      <c r="C90" s="53"/>
      <c r="D90" s="28" t="s">
        <v>327</v>
      </c>
      <c r="E90" s="28" t="s">
        <v>1226</v>
      </c>
      <c r="F90" s="31"/>
      <c r="G90" s="32" t="s">
        <v>1227</v>
      </c>
    </row>
    <row r="91" spans="1:7" ht="15.75" thickBot="1" x14ac:dyDescent="0.3">
      <c r="A91" s="66">
        <v>9</v>
      </c>
      <c r="B91" s="66">
        <v>2</v>
      </c>
      <c r="C91" s="53"/>
      <c r="D91" s="28" t="s">
        <v>330</v>
      </c>
      <c r="E91" s="28" t="s">
        <v>1228</v>
      </c>
      <c r="F91" s="29">
        <f>F89-F90</f>
        <v>0</v>
      </c>
      <c r="G91" s="30" t="s">
        <v>1229</v>
      </c>
    </row>
    <row r="92" spans="1:7" ht="15.75" thickBot="1" x14ac:dyDescent="0.3">
      <c r="A92" s="66">
        <v>9</v>
      </c>
      <c r="B92" s="66">
        <v>2</v>
      </c>
      <c r="E92" s="45" t="s">
        <v>1230</v>
      </c>
      <c r="F92" s="46">
        <f>IFERROR(F90/F89,0)</f>
        <v>0</v>
      </c>
      <c r="G92" s="37" t="s">
        <v>378</v>
      </c>
    </row>
    <row r="93" spans="1:7" ht="15.75" thickBot="1" x14ac:dyDescent="0.3">
      <c r="A93" s="66">
        <v>9</v>
      </c>
      <c r="B93" s="66">
        <v>2</v>
      </c>
      <c r="E93" s="47" t="s">
        <v>1231</v>
      </c>
      <c r="F93" s="44">
        <f>F92</f>
        <v>0</v>
      </c>
      <c r="G93" s="37"/>
    </row>
    <row r="95" spans="1:7" s="1" customFormat="1" ht="45" customHeight="1" x14ac:dyDescent="0.25">
      <c r="A95" s="66">
        <v>9</v>
      </c>
      <c r="B95" s="66">
        <v>2</v>
      </c>
      <c r="C95" s="54"/>
      <c r="D95" s="112"/>
      <c r="E95" s="152" t="s">
        <v>2080</v>
      </c>
      <c r="F95" s="147" t="s">
        <v>2053</v>
      </c>
      <c r="G95" s="159"/>
    </row>
    <row r="96" spans="1:7" s="1" customFormat="1" x14ac:dyDescent="0.25">
      <c r="A96" s="64"/>
      <c r="B96" s="64"/>
      <c r="C96" s="112"/>
      <c r="D96" s="112"/>
      <c r="E96" s="112"/>
      <c r="F96" s="56"/>
      <c r="G96" s="150"/>
    </row>
    <row r="97" spans="1:7" x14ac:dyDescent="0.25">
      <c r="A97" s="66">
        <v>9</v>
      </c>
      <c r="B97" s="66">
        <v>2</v>
      </c>
      <c r="C97" s="52">
        <v>8.07</v>
      </c>
      <c r="D97" s="215" t="s">
        <v>229</v>
      </c>
      <c r="E97" s="215"/>
      <c r="F97" s="27" t="s">
        <v>320</v>
      </c>
      <c r="G97" s="146" t="s">
        <v>321</v>
      </c>
    </row>
    <row r="98" spans="1:7" x14ac:dyDescent="0.25">
      <c r="A98" s="66">
        <v>9</v>
      </c>
      <c r="B98" s="66">
        <v>2</v>
      </c>
      <c r="C98" s="53"/>
      <c r="D98" s="28" t="s">
        <v>322</v>
      </c>
      <c r="E98" s="28" t="s">
        <v>1232</v>
      </c>
      <c r="F98" s="31"/>
      <c r="G98" s="32" t="s">
        <v>1233</v>
      </c>
    </row>
    <row r="99" spans="1:7" x14ac:dyDescent="0.25">
      <c r="A99" s="66">
        <v>9</v>
      </c>
      <c r="B99" s="66">
        <v>2</v>
      </c>
      <c r="C99" s="53"/>
      <c r="D99" s="28" t="s">
        <v>327</v>
      </c>
      <c r="E99" s="28" t="s">
        <v>1234</v>
      </c>
      <c r="F99" s="31"/>
      <c r="G99" s="32" t="s">
        <v>1235</v>
      </c>
    </row>
    <row r="100" spans="1:7" ht="15.75" thickBot="1" x14ac:dyDescent="0.3">
      <c r="A100" s="66">
        <v>9</v>
      </c>
      <c r="B100" s="66">
        <v>2</v>
      </c>
      <c r="C100" s="53"/>
      <c r="D100" s="28" t="s">
        <v>330</v>
      </c>
      <c r="E100" s="28" t="s">
        <v>1236</v>
      </c>
      <c r="F100" s="29">
        <f>F98-F99</f>
        <v>0</v>
      </c>
      <c r="G100" s="30" t="s">
        <v>1237</v>
      </c>
    </row>
    <row r="101" spans="1:7" ht="15.75" thickBot="1" x14ac:dyDescent="0.3">
      <c r="A101" s="66">
        <v>9</v>
      </c>
      <c r="B101" s="66">
        <v>2</v>
      </c>
      <c r="E101" s="45" t="s">
        <v>1238</v>
      </c>
      <c r="F101" s="46">
        <f>IFERROR(F99/F98,0)</f>
        <v>0</v>
      </c>
      <c r="G101" s="37" t="s">
        <v>378</v>
      </c>
    </row>
    <row r="102" spans="1:7" ht="15.75" thickBot="1" x14ac:dyDescent="0.3">
      <c r="A102" s="66">
        <v>9</v>
      </c>
      <c r="B102" s="66">
        <v>2</v>
      </c>
      <c r="E102" s="47" t="s">
        <v>1239</v>
      </c>
      <c r="F102" s="44">
        <f>F101</f>
        <v>0</v>
      </c>
      <c r="G102" s="37"/>
    </row>
    <row r="104" spans="1:7" s="1" customFormat="1" ht="45" customHeight="1" x14ac:dyDescent="0.25">
      <c r="A104" s="66">
        <v>9</v>
      </c>
      <c r="B104" s="66">
        <v>2</v>
      </c>
      <c r="C104" s="112"/>
      <c r="D104" s="112"/>
      <c r="E104" s="152" t="s">
        <v>2080</v>
      </c>
      <c r="F104" s="147" t="s">
        <v>2053</v>
      </c>
      <c r="G104" s="159"/>
    </row>
    <row r="105" spans="1:7" s="1" customFormat="1" x14ac:dyDescent="0.25">
      <c r="A105" s="64"/>
      <c r="B105" s="64"/>
      <c r="C105" s="112"/>
      <c r="D105" s="112"/>
      <c r="E105" s="112"/>
      <c r="F105" s="56"/>
      <c r="G105" s="150"/>
    </row>
    <row r="106" spans="1:7" x14ac:dyDescent="0.25">
      <c r="A106" s="66">
        <v>9</v>
      </c>
      <c r="B106" s="66">
        <v>2</v>
      </c>
      <c r="C106" s="52">
        <v>8.08</v>
      </c>
      <c r="D106" s="215" t="s">
        <v>230</v>
      </c>
      <c r="E106" s="215"/>
      <c r="F106" s="27" t="s">
        <v>320</v>
      </c>
      <c r="G106" s="146" t="s">
        <v>321</v>
      </c>
    </row>
    <row r="107" spans="1:7" x14ac:dyDescent="0.25">
      <c r="A107" s="66">
        <v>9</v>
      </c>
      <c r="B107" s="66">
        <v>2</v>
      </c>
      <c r="C107" s="53"/>
      <c r="D107" s="28" t="s">
        <v>322</v>
      </c>
      <c r="E107" s="28" t="s">
        <v>1240</v>
      </c>
      <c r="F107" s="31"/>
      <c r="G107" s="32" t="s">
        <v>1241</v>
      </c>
    </row>
    <row r="108" spans="1:7" x14ac:dyDescent="0.25">
      <c r="A108" s="66">
        <v>9</v>
      </c>
      <c r="B108" s="66">
        <v>2</v>
      </c>
      <c r="C108" s="53"/>
      <c r="D108" s="28" t="s">
        <v>327</v>
      </c>
      <c r="E108" s="28" t="s">
        <v>1242</v>
      </c>
      <c r="F108" s="31"/>
      <c r="G108" s="32" t="s">
        <v>1243</v>
      </c>
    </row>
    <row r="109" spans="1:7" ht="15.75" thickBot="1" x14ac:dyDescent="0.3">
      <c r="A109" s="66">
        <v>9</v>
      </c>
      <c r="B109" s="66">
        <v>2</v>
      </c>
      <c r="C109" s="53"/>
      <c r="D109" s="28" t="s">
        <v>330</v>
      </c>
      <c r="E109" s="28" t="s">
        <v>1244</v>
      </c>
      <c r="F109" s="29">
        <f>F107-F108</f>
        <v>0</v>
      </c>
      <c r="G109" s="30" t="s">
        <v>1245</v>
      </c>
    </row>
    <row r="110" spans="1:7" ht="15.75" thickBot="1" x14ac:dyDescent="0.3">
      <c r="A110" s="66">
        <v>9</v>
      </c>
      <c r="B110" s="66">
        <v>2</v>
      </c>
      <c r="E110" s="45" t="s">
        <v>1246</v>
      </c>
      <c r="F110" s="46">
        <f>IFERROR(F108/F107,0)</f>
        <v>0</v>
      </c>
      <c r="G110" s="37" t="s">
        <v>378</v>
      </c>
    </row>
    <row r="111" spans="1:7" ht="15.75" thickBot="1" x14ac:dyDescent="0.3">
      <c r="A111" s="66">
        <v>9</v>
      </c>
      <c r="B111" s="66">
        <v>2</v>
      </c>
      <c r="E111" s="47" t="s">
        <v>1247</v>
      </c>
      <c r="F111" s="44">
        <f>F110</f>
        <v>0</v>
      </c>
      <c r="G111" s="37"/>
    </row>
    <row r="113" spans="1:7" s="1" customFormat="1" ht="45" customHeight="1" x14ac:dyDescent="0.25">
      <c r="A113" s="66">
        <v>9</v>
      </c>
      <c r="B113" s="66">
        <v>2</v>
      </c>
      <c r="C113" s="112"/>
      <c r="D113" s="112"/>
      <c r="E113" s="152" t="s">
        <v>2080</v>
      </c>
      <c r="F113" s="147" t="s">
        <v>2053</v>
      </c>
      <c r="G113" s="159"/>
    </row>
    <row r="114" spans="1:7" s="1" customFormat="1" x14ac:dyDescent="0.25">
      <c r="A114" s="64"/>
      <c r="B114" s="64"/>
      <c r="C114" s="112"/>
      <c r="D114" s="112"/>
      <c r="E114" s="112"/>
      <c r="F114" s="56"/>
      <c r="G114" s="150"/>
    </row>
    <row r="115" spans="1:7" x14ac:dyDescent="0.25">
      <c r="A115" s="66">
        <v>0</v>
      </c>
      <c r="B115" s="66">
        <v>2</v>
      </c>
      <c r="C115" s="52">
        <v>8.09</v>
      </c>
      <c r="D115" s="217" t="s">
        <v>231</v>
      </c>
      <c r="E115" s="217"/>
      <c r="F115" s="27" t="s">
        <v>320</v>
      </c>
      <c r="G115" s="146" t="s">
        <v>321</v>
      </c>
    </row>
    <row r="116" spans="1:7" x14ac:dyDescent="0.25">
      <c r="A116" s="66">
        <v>0</v>
      </c>
      <c r="B116" s="66">
        <v>2</v>
      </c>
      <c r="C116" s="53"/>
      <c r="D116" s="28" t="s">
        <v>322</v>
      </c>
      <c r="E116" s="28" t="s">
        <v>1109</v>
      </c>
      <c r="F116" s="58"/>
      <c r="G116" s="78"/>
    </row>
    <row r="117" spans="1:7" x14ac:dyDescent="0.25">
      <c r="A117" s="66">
        <v>0</v>
      </c>
      <c r="B117" s="66">
        <v>2</v>
      </c>
      <c r="C117" s="53"/>
      <c r="D117" s="28" t="s">
        <v>327</v>
      </c>
      <c r="E117" s="28" t="s">
        <v>1248</v>
      </c>
      <c r="F117" s="58"/>
      <c r="G117" s="78"/>
    </row>
    <row r="118" spans="1:7" ht="15.75" thickBot="1" x14ac:dyDescent="0.3">
      <c r="A118" s="66">
        <v>0</v>
      </c>
      <c r="B118" s="66">
        <v>2</v>
      </c>
      <c r="C118" s="53"/>
      <c r="D118" s="28" t="s">
        <v>330</v>
      </c>
      <c r="E118" s="28" t="s">
        <v>1249</v>
      </c>
      <c r="F118" s="29">
        <f>F116-F117</f>
        <v>0</v>
      </c>
      <c r="G118" s="77" t="s">
        <v>754</v>
      </c>
    </row>
    <row r="119" spans="1:7" ht="15.75" thickBot="1" x14ac:dyDescent="0.3">
      <c r="A119" s="66">
        <v>0</v>
      </c>
      <c r="B119" s="66">
        <v>2</v>
      </c>
      <c r="E119" s="45" t="s">
        <v>1250</v>
      </c>
      <c r="F119" s="46">
        <f>IFERROR(F117/F116,0)</f>
        <v>0</v>
      </c>
      <c r="G119" s="37" t="s">
        <v>378</v>
      </c>
    </row>
    <row r="120" spans="1:7" ht="15.75" thickBot="1" x14ac:dyDescent="0.3">
      <c r="A120" s="66">
        <v>0</v>
      </c>
      <c r="B120" s="66">
        <v>2</v>
      </c>
      <c r="E120" s="47" t="s">
        <v>1251</v>
      </c>
      <c r="F120" s="44">
        <f>F119</f>
        <v>0</v>
      </c>
      <c r="G120" s="37"/>
    </row>
    <row r="122" spans="1:7" s="1" customFormat="1" ht="45" customHeight="1" x14ac:dyDescent="0.25">
      <c r="A122" s="66">
        <v>0</v>
      </c>
      <c r="B122" s="66">
        <v>2</v>
      </c>
      <c r="C122" s="54"/>
      <c r="D122" s="112"/>
      <c r="E122" s="152" t="s">
        <v>2080</v>
      </c>
      <c r="F122" s="147" t="s">
        <v>2053</v>
      </c>
      <c r="G122" s="159"/>
    </row>
    <row r="123" spans="1:7" s="1" customFormat="1" x14ac:dyDescent="0.25">
      <c r="A123" s="64"/>
      <c r="B123" s="64"/>
      <c r="C123" s="112"/>
      <c r="D123" s="112"/>
      <c r="E123" s="112"/>
      <c r="F123" s="56"/>
      <c r="G123" s="150"/>
    </row>
    <row r="124" spans="1:7" x14ac:dyDescent="0.25">
      <c r="A124" s="66">
        <v>0</v>
      </c>
      <c r="B124" s="66">
        <v>2</v>
      </c>
      <c r="C124" s="52">
        <v>8.1</v>
      </c>
      <c r="D124" s="215" t="s">
        <v>232</v>
      </c>
      <c r="E124" s="215"/>
      <c r="F124" s="27" t="s">
        <v>320</v>
      </c>
      <c r="G124" s="146" t="s">
        <v>321</v>
      </c>
    </row>
    <row r="125" spans="1:7" x14ac:dyDescent="0.25">
      <c r="A125" s="66">
        <v>0</v>
      </c>
      <c r="B125" s="66">
        <v>2</v>
      </c>
      <c r="C125" s="53"/>
      <c r="D125" s="28" t="s">
        <v>322</v>
      </c>
      <c r="E125" s="28" t="s">
        <v>1252</v>
      </c>
      <c r="F125" s="58"/>
      <c r="G125" s="78"/>
    </row>
    <row r="126" spans="1:7" x14ac:dyDescent="0.25">
      <c r="A126" s="66">
        <v>0</v>
      </c>
      <c r="B126" s="66">
        <v>2</v>
      </c>
      <c r="C126" s="53"/>
      <c r="D126" s="28" t="s">
        <v>327</v>
      </c>
      <c r="E126" s="28" t="s">
        <v>1253</v>
      </c>
      <c r="F126" s="58"/>
      <c r="G126" s="78"/>
    </row>
    <row r="127" spans="1:7" ht="15.75" thickBot="1" x14ac:dyDescent="0.3">
      <c r="A127" s="66">
        <v>0</v>
      </c>
      <c r="B127" s="66">
        <v>2</v>
      </c>
      <c r="C127" s="53"/>
      <c r="D127" s="28" t="s">
        <v>330</v>
      </c>
      <c r="E127" s="28" t="s">
        <v>1254</v>
      </c>
      <c r="F127" s="29">
        <f>F125-F126</f>
        <v>0</v>
      </c>
      <c r="G127" s="77" t="s">
        <v>754</v>
      </c>
    </row>
    <row r="128" spans="1:7" ht="15.75" thickBot="1" x14ac:dyDescent="0.3">
      <c r="A128" s="66">
        <v>0</v>
      </c>
      <c r="B128" s="66">
        <v>2</v>
      </c>
      <c r="E128" s="45" t="s">
        <v>1255</v>
      </c>
      <c r="F128" s="46">
        <f>IFERROR(F126/F125,0)</f>
        <v>0</v>
      </c>
      <c r="G128" s="37" t="s">
        <v>378</v>
      </c>
    </row>
    <row r="129" spans="1:7" ht="15.75" thickBot="1" x14ac:dyDescent="0.3">
      <c r="A129" s="66">
        <v>0</v>
      </c>
      <c r="B129" s="66">
        <v>2</v>
      </c>
      <c r="E129" s="47" t="s">
        <v>1256</v>
      </c>
      <c r="F129" s="44">
        <f>F128</f>
        <v>0</v>
      </c>
      <c r="G129" s="37"/>
    </row>
    <row r="131" spans="1:7" s="1" customFormat="1" ht="45" customHeight="1" x14ac:dyDescent="0.25">
      <c r="A131" s="66">
        <v>0</v>
      </c>
      <c r="B131" s="66">
        <v>2</v>
      </c>
      <c r="C131" s="112"/>
      <c r="D131" s="112"/>
      <c r="E131" s="152" t="s">
        <v>2080</v>
      </c>
      <c r="F131" s="147" t="s">
        <v>2053</v>
      </c>
      <c r="G131" s="159"/>
    </row>
    <row r="132" spans="1:7" s="1" customFormat="1" x14ac:dyDescent="0.25">
      <c r="A132" s="64"/>
      <c r="B132" s="64"/>
      <c r="C132" s="112"/>
      <c r="D132" s="112"/>
      <c r="E132" s="112"/>
      <c r="F132" s="56"/>
      <c r="G132" s="150"/>
    </row>
    <row r="133" spans="1:7" x14ac:dyDescent="0.25">
      <c r="A133" s="66">
        <v>0</v>
      </c>
      <c r="B133" s="66">
        <v>2</v>
      </c>
      <c r="C133" s="52">
        <v>8.11</v>
      </c>
      <c r="D133" s="215" t="s">
        <v>233</v>
      </c>
      <c r="E133" s="215"/>
      <c r="F133" s="27" t="s">
        <v>320</v>
      </c>
      <c r="G133" s="146" t="s">
        <v>321</v>
      </c>
    </row>
    <row r="134" spans="1:7" x14ac:dyDescent="0.25">
      <c r="A134" s="66">
        <v>0</v>
      </c>
      <c r="B134" s="66">
        <v>2</v>
      </c>
      <c r="C134" s="53"/>
      <c r="D134" s="28" t="s">
        <v>325</v>
      </c>
      <c r="E134" s="28" t="s">
        <v>1257</v>
      </c>
      <c r="F134" s="74"/>
      <c r="G134" s="78"/>
    </row>
    <row r="135" spans="1:7" ht="15.75" thickBot="1" x14ac:dyDescent="0.3">
      <c r="A135" s="66">
        <v>0</v>
      </c>
      <c r="B135" s="66">
        <v>2</v>
      </c>
      <c r="C135" s="53"/>
      <c r="D135" s="28" t="s">
        <v>1258</v>
      </c>
      <c r="E135" s="28" t="s">
        <v>1259</v>
      </c>
      <c r="F135" s="74"/>
      <c r="G135" s="78"/>
    </row>
    <row r="136" spans="1:7" ht="15.75" thickBot="1" x14ac:dyDescent="0.3">
      <c r="A136" s="66">
        <v>0</v>
      </c>
      <c r="B136" s="66">
        <v>2</v>
      </c>
      <c r="E136" s="45" t="s">
        <v>1260</v>
      </c>
      <c r="F136" s="75">
        <f>F134-F135</f>
        <v>0</v>
      </c>
      <c r="G136" s="37"/>
    </row>
    <row r="137" spans="1:7" ht="15.75" thickBot="1" x14ac:dyDescent="0.3">
      <c r="A137" s="66">
        <v>0</v>
      </c>
      <c r="B137" s="66">
        <v>2</v>
      </c>
      <c r="E137" s="47" t="s">
        <v>1261</v>
      </c>
      <c r="F137" s="44">
        <f>IF(F134=0,0,IF(F136&lt;=7,1,0))</f>
        <v>0</v>
      </c>
      <c r="G137" s="37" t="s">
        <v>2115</v>
      </c>
    </row>
    <row r="139" spans="1:7" s="1" customFormat="1" ht="45" customHeight="1" x14ac:dyDescent="0.25">
      <c r="A139" s="66">
        <v>0</v>
      </c>
      <c r="B139" s="66">
        <v>2</v>
      </c>
      <c r="C139" s="112"/>
      <c r="D139" s="112"/>
      <c r="E139" s="152" t="s">
        <v>2080</v>
      </c>
      <c r="F139" s="147" t="s">
        <v>2053</v>
      </c>
      <c r="G139" s="159"/>
    </row>
    <row r="140" spans="1:7" s="1" customFormat="1" x14ac:dyDescent="0.25">
      <c r="A140" s="64"/>
      <c r="B140" s="64"/>
      <c r="C140" s="112"/>
      <c r="D140" s="112"/>
      <c r="E140" s="112"/>
      <c r="F140" s="56"/>
      <c r="G140" s="150"/>
    </row>
    <row r="141" spans="1:7" x14ac:dyDescent="0.25">
      <c r="A141" s="66">
        <v>9</v>
      </c>
      <c r="B141" s="66">
        <v>3</v>
      </c>
      <c r="C141" s="52">
        <v>8.1199999999999992</v>
      </c>
      <c r="D141" s="215" t="s">
        <v>234</v>
      </c>
      <c r="E141" s="215"/>
      <c r="F141" s="27" t="s">
        <v>320</v>
      </c>
      <c r="G141" s="146" t="s">
        <v>321</v>
      </c>
    </row>
    <row r="142" spans="1:7" x14ac:dyDescent="0.25">
      <c r="A142" s="66">
        <v>9</v>
      </c>
      <c r="B142" s="66">
        <v>3</v>
      </c>
      <c r="C142" s="53"/>
      <c r="D142" s="28" t="s">
        <v>322</v>
      </c>
      <c r="E142" s="28" t="s">
        <v>1262</v>
      </c>
      <c r="F142" s="31"/>
      <c r="G142" s="32" t="s">
        <v>1263</v>
      </c>
    </row>
    <row r="143" spans="1:7" x14ac:dyDescent="0.25">
      <c r="A143" s="66">
        <v>9</v>
      </c>
      <c r="B143" s="66">
        <v>3</v>
      </c>
      <c r="C143" s="53"/>
      <c r="D143" s="28" t="s">
        <v>327</v>
      </c>
      <c r="E143" s="28" t="s">
        <v>1264</v>
      </c>
      <c r="F143" s="31"/>
      <c r="G143" s="32" t="s">
        <v>1265</v>
      </c>
    </row>
    <row r="144" spans="1:7" ht="15.75" thickBot="1" x14ac:dyDescent="0.3">
      <c r="A144" s="66">
        <v>9</v>
      </c>
      <c r="B144" s="66">
        <v>3</v>
      </c>
      <c r="C144" s="53"/>
      <c r="D144" s="28" t="s">
        <v>330</v>
      </c>
      <c r="E144" s="28" t="s">
        <v>1266</v>
      </c>
      <c r="F144" s="29">
        <f>F142-F143</f>
        <v>0</v>
      </c>
      <c r="G144" s="30" t="s">
        <v>1267</v>
      </c>
    </row>
    <row r="145" spans="1:7" ht="15.75" thickBot="1" x14ac:dyDescent="0.3">
      <c r="A145" s="66">
        <v>9</v>
      </c>
      <c r="B145" s="66">
        <v>3</v>
      </c>
      <c r="E145" s="45" t="s">
        <v>1268</v>
      </c>
      <c r="F145" s="46">
        <f>IFERROR(F143/F142,0)</f>
        <v>0</v>
      </c>
      <c r="G145" s="37" t="s">
        <v>378</v>
      </c>
    </row>
    <row r="146" spans="1:7" ht="15.75" thickBot="1" x14ac:dyDescent="0.3">
      <c r="A146" s="66">
        <v>9</v>
      </c>
      <c r="B146" s="66">
        <v>3</v>
      </c>
      <c r="E146" s="47" t="s">
        <v>1269</v>
      </c>
      <c r="F146" s="44">
        <f>F145</f>
        <v>0</v>
      </c>
      <c r="G146" s="37"/>
    </row>
    <row r="148" spans="1:7" s="1" customFormat="1" ht="45" customHeight="1" x14ac:dyDescent="0.25">
      <c r="A148" s="66">
        <v>9</v>
      </c>
      <c r="B148" s="66">
        <v>3</v>
      </c>
      <c r="C148" s="54"/>
      <c r="D148" s="112"/>
      <c r="E148" s="152" t="s">
        <v>2080</v>
      </c>
      <c r="F148" s="147" t="s">
        <v>2053</v>
      </c>
      <c r="G148" s="159"/>
    </row>
    <row r="149" spans="1:7" s="1" customFormat="1" x14ac:dyDescent="0.25">
      <c r="A149" s="64"/>
      <c r="B149" s="64"/>
      <c r="C149" s="112"/>
      <c r="D149" s="112"/>
      <c r="E149" s="112"/>
      <c r="F149" s="56"/>
      <c r="G149" s="150"/>
    </row>
  </sheetData>
  <sheetProtection algorithmName="SHA-512" hashValue="siKZ7b0qpaIToItevZzE8nr3VS2RbRRfFiztJOS2n20b8jI1xhUjJFDwQkLC2UHXe4nA1Jr5HHq7ukGiLbh8oQ==" saltValue="8g8lhUkhTL9OxCLgmgV/4w==" spinCount="100000" sheet="1" formatRows="0" selectLockedCells="1"/>
  <mergeCells count="13">
    <mergeCell ref="D124:E124"/>
    <mergeCell ref="D133:E133"/>
    <mergeCell ref="D141:E141"/>
    <mergeCell ref="D53:E53"/>
    <mergeCell ref="D88:E88"/>
    <mergeCell ref="D97:E97"/>
    <mergeCell ref="D106:E106"/>
    <mergeCell ref="D115:E115"/>
    <mergeCell ref="C2:E2"/>
    <mergeCell ref="D4:E4"/>
    <mergeCell ref="D15:E15"/>
    <mergeCell ref="D27:E27"/>
    <mergeCell ref="D43:E43"/>
  </mergeCells>
  <conditionalFormatting sqref="E1:E1048576">
    <cfRule type="containsText" dxfId="34" priority="2" operator="containsText" text="Safeguard Scoring Complete">
      <formula>NOT(ISERROR(SEARCH("Safeguard Scoring Complete",E1)))</formula>
    </cfRule>
    <cfRule type="containsText" dxfId="33" priority="15" operator="containsText" text="Safeguard Scoring Incomplete">
      <formula>NOT(ISERROR(SEARCH("Safeguard Scoring Incomplete",E1)))</formula>
    </cfRule>
  </conditionalFormatting>
  <dataValidations count="3">
    <dataValidation type="list" allowBlank="1" showInputMessage="1" showErrorMessage="1" sqref="F6:F8 F30:F36 F18:F20 F57:F80" xr:uid="{76B6FAE9-7327-46AA-B952-B7D195127774}">
      <formula1>"0,1"</formula1>
    </dataValidation>
    <dataValidation type="list" allowBlank="1" showInputMessage="1" showErrorMessage="1" sqref="F2" xr:uid="{44F020DB-B966-4221-94AD-E03F47420C37}">
      <formula1>"Assessed,Not Assessed"</formula1>
    </dataValidation>
    <dataValidation type="list" allowBlank="1" showInputMessage="1" showErrorMessage="1" sqref="E13 E25 E41 E51 E86 E95 E104 E113 E122 E131 E139 E148" xr:uid="{E4A601B6-DB4D-4147-B7A5-144AC877616C}">
      <formula1>"Safeguard Scoring Complete,Safeguard Scoring Incomplete"</formula1>
    </dataValidation>
  </dataValidations>
  <hyperlinks>
    <hyperlink ref="G2" r:id="rId1" xr:uid="{968CCDD3-B107-46A7-851D-5FFE4FB2A17D}"/>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C4E7711-9B02-45EB-B149-376BF62E7A78}">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7AAB-921E-4CAF-B4EE-127F54886906}">
  <sheetPr codeName="Sheet12"/>
  <dimension ref="A2:G77"/>
  <sheetViews>
    <sheetView showGridLines="0" workbookViewId="0">
      <selection activeCell="F2" sqref="F2"/>
    </sheetView>
  </sheetViews>
  <sheetFormatPr defaultColWidth="9.140625" defaultRowHeight="15" x14ac:dyDescent="0.25"/>
  <cols>
    <col min="1" max="2" width="2.7109375" style="108" customWidth="1"/>
    <col min="3"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1270</v>
      </c>
      <c r="D2" s="214"/>
      <c r="E2" s="214"/>
      <c r="F2" s="100" t="s">
        <v>318</v>
      </c>
      <c r="G2" s="208" t="s">
        <v>2193</v>
      </c>
    </row>
    <row r="4" spans="1:7" x14ac:dyDescent="0.25">
      <c r="A4" s="108">
        <v>0</v>
      </c>
      <c r="B4" s="108">
        <v>1</v>
      </c>
      <c r="C4" s="146">
        <v>9.01</v>
      </c>
      <c r="D4" s="215" t="s">
        <v>235</v>
      </c>
      <c r="E4" s="215"/>
      <c r="F4" s="27" t="s">
        <v>320</v>
      </c>
      <c r="G4" s="146" t="s">
        <v>321</v>
      </c>
    </row>
    <row r="5" spans="1:7" x14ac:dyDescent="0.25">
      <c r="A5" s="108">
        <v>0</v>
      </c>
      <c r="B5" s="108">
        <v>1</v>
      </c>
      <c r="C5" s="25"/>
      <c r="D5" s="28"/>
      <c r="E5" s="28" t="s">
        <v>396</v>
      </c>
      <c r="F5" s="29">
        <f>IF(Artifacts!$E$13="Artifact Provided",1,0)</f>
        <v>0</v>
      </c>
      <c r="G5" s="105" t="s">
        <v>324</v>
      </c>
    </row>
    <row r="6" spans="1:7" x14ac:dyDescent="0.25">
      <c r="A6" s="108">
        <v>0</v>
      </c>
      <c r="B6" s="108">
        <v>1</v>
      </c>
      <c r="C6" s="25"/>
      <c r="D6" s="28" t="s">
        <v>322</v>
      </c>
      <c r="E6" s="28" t="s">
        <v>1271</v>
      </c>
      <c r="F6" s="31"/>
      <c r="G6" s="32"/>
    </row>
    <row r="7" spans="1:7" x14ac:dyDescent="0.25">
      <c r="A7" s="108">
        <v>0</v>
      </c>
      <c r="B7" s="108">
        <v>1</v>
      </c>
      <c r="C7" s="25"/>
      <c r="D7" s="28" t="s">
        <v>327</v>
      </c>
      <c r="E7" s="28" t="s">
        <v>1272</v>
      </c>
      <c r="F7" s="31"/>
      <c r="G7" s="32" t="s">
        <v>1273</v>
      </c>
    </row>
    <row r="8" spans="1:7" x14ac:dyDescent="0.25">
      <c r="A8" s="108">
        <v>0</v>
      </c>
      <c r="B8" s="108">
        <v>1</v>
      </c>
      <c r="C8" s="25"/>
      <c r="D8" s="28" t="s">
        <v>330</v>
      </c>
      <c r="E8" s="28" t="s">
        <v>1274</v>
      </c>
      <c r="F8" s="31"/>
      <c r="G8" s="32" t="s">
        <v>1275</v>
      </c>
    </row>
    <row r="9" spans="1:7" x14ac:dyDescent="0.25">
      <c r="A9" s="108">
        <v>0</v>
      </c>
      <c r="B9" s="108">
        <v>1</v>
      </c>
      <c r="C9" s="25"/>
      <c r="D9" s="28" t="s">
        <v>332</v>
      </c>
      <c r="E9" s="28" t="s">
        <v>1276</v>
      </c>
      <c r="F9" s="31"/>
      <c r="G9" s="32" t="s">
        <v>1277</v>
      </c>
    </row>
    <row r="10" spans="1:7" ht="15.75" thickBot="1" x14ac:dyDescent="0.3">
      <c r="A10" s="108">
        <v>0</v>
      </c>
      <c r="B10" s="108">
        <v>1</v>
      </c>
      <c r="C10" s="25"/>
      <c r="D10" s="28" t="s">
        <v>335</v>
      </c>
      <c r="E10" s="28" t="s">
        <v>1278</v>
      </c>
      <c r="F10" s="107"/>
      <c r="G10" s="32" t="s">
        <v>1279</v>
      </c>
    </row>
    <row r="11" spans="1:7" ht="15.75" thickBot="1" x14ac:dyDescent="0.3">
      <c r="A11" s="108">
        <v>0</v>
      </c>
      <c r="B11" s="108">
        <v>1</v>
      </c>
      <c r="E11" s="45" t="s">
        <v>1280</v>
      </c>
      <c r="F11" s="46">
        <f>IFERROR((F8+F9) / F6,0)</f>
        <v>0</v>
      </c>
      <c r="G11" s="37" t="s">
        <v>1281</v>
      </c>
    </row>
    <row r="12" spans="1:7" ht="30.75" thickBot="1" x14ac:dyDescent="0.3">
      <c r="A12" s="108">
        <v>0</v>
      </c>
      <c r="B12" s="108">
        <v>1</v>
      </c>
      <c r="E12" s="45" t="s">
        <v>1282</v>
      </c>
      <c r="F12" s="46">
        <f>IFERROR(F8/(F7+F8),0)</f>
        <v>0</v>
      </c>
      <c r="G12" s="37" t="s">
        <v>1283</v>
      </c>
    </row>
    <row r="13" spans="1:7" ht="30.75" thickBot="1" x14ac:dyDescent="0.3">
      <c r="A13" s="108">
        <v>0</v>
      </c>
      <c r="B13" s="108">
        <v>1</v>
      </c>
      <c r="E13" s="45" t="s">
        <v>1284</v>
      </c>
      <c r="F13" s="46">
        <f>IFERROR(F10/(F9+F10),0)</f>
        <v>0</v>
      </c>
      <c r="G13" s="37" t="s">
        <v>1285</v>
      </c>
    </row>
    <row r="14" spans="1:7" ht="15.75" thickBot="1" x14ac:dyDescent="0.3">
      <c r="A14" s="108">
        <v>0</v>
      </c>
      <c r="B14" s="108">
        <v>1</v>
      </c>
      <c r="E14" s="47" t="s">
        <v>1286</v>
      </c>
      <c r="F14" s="44">
        <f>IF(F6=0,0,AVERAGE((1-F11),AVERAGE((1-F12),(1-F13))))</f>
        <v>0</v>
      </c>
      <c r="G14" s="106" t="s">
        <v>1287</v>
      </c>
    </row>
    <row r="16" spans="1:7" s="1" customFormat="1" ht="45" customHeight="1" x14ac:dyDescent="0.25">
      <c r="A16" s="108">
        <v>0</v>
      </c>
      <c r="B16" s="108">
        <v>1</v>
      </c>
      <c r="C16" s="112"/>
      <c r="D16" s="112"/>
      <c r="E16" s="152" t="s">
        <v>2080</v>
      </c>
      <c r="F16" s="147" t="s">
        <v>2053</v>
      </c>
      <c r="G16" s="159"/>
    </row>
    <row r="17" spans="1:7" s="1" customFormat="1" x14ac:dyDescent="0.25">
      <c r="A17" s="64"/>
      <c r="B17" s="64"/>
      <c r="C17" s="112"/>
      <c r="D17" s="112"/>
      <c r="E17" s="112"/>
      <c r="F17" s="56"/>
      <c r="G17" s="150"/>
    </row>
    <row r="18" spans="1:7" x14ac:dyDescent="0.25">
      <c r="A18" s="108">
        <v>0</v>
      </c>
      <c r="B18" s="108">
        <v>1</v>
      </c>
      <c r="C18" s="146">
        <v>9.02</v>
      </c>
      <c r="D18" s="215" t="s">
        <v>236</v>
      </c>
      <c r="E18" s="215"/>
      <c r="F18" s="27" t="s">
        <v>320</v>
      </c>
      <c r="G18" s="146" t="s">
        <v>321</v>
      </c>
    </row>
    <row r="19" spans="1:7" x14ac:dyDescent="0.25">
      <c r="A19" s="108">
        <v>0</v>
      </c>
      <c r="B19" s="108">
        <v>1</v>
      </c>
      <c r="C19" s="25"/>
      <c r="D19" s="28" t="s">
        <v>322</v>
      </c>
      <c r="E19" s="28" t="s">
        <v>2116</v>
      </c>
      <c r="F19" s="31"/>
      <c r="G19" s="32" t="s">
        <v>1288</v>
      </c>
    </row>
    <row r="20" spans="1:7" ht="30" x14ac:dyDescent="0.25">
      <c r="A20" s="108">
        <v>0</v>
      </c>
      <c r="B20" s="108">
        <v>1</v>
      </c>
      <c r="C20" s="25"/>
      <c r="D20" s="28" t="s">
        <v>327</v>
      </c>
      <c r="E20" s="28" t="s">
        <v>2117</v>
      </c>
      <c r="F20" s="31"/>
      <c r="G20" s="32" t="s">
        <v>2095</v>
      </c>
    </row>
    <row r="21" spans="1:7" ht="15.75" thickBot="1" x14ac:dyDescent="0.3">
      <c r="A21" s="108">
        <v>0</v>
      </c>
      <c r="B21" s="108">
        <v>1</v>
      </c>
      <c r="C21" s="25"/>
      <c r="D21" s="28" t="s">
        <v>330</v>
      </c>
      <c r="E21" s="28" t="s">
        <v>2118</v>
      </c>
      <c r="F21" s="142">
        <f>F19-F20</f>
        <v>0</v>
      </c>
      <c r="G21" s="37" t="s">
        <v>754</v>
      </c>
    </row>
    <row r="22" spans="1:7" ht="15.75" thickBot="1" x14ac:dyDescent="0.3">
      <c r="A22" s="108">
        <v>0</v>
      </c>
      <c r="B22" s="108">
        <v>1</v>
      </c>
      <c r="E22" s="45" t="s">
        <v>1289</v>
      </c>
      <c r="F22" s="46">
        <f>IFERROR(F20/F19,0)</f>
        <v>0</v>
      </c>
      <c r="G22" s="37" t="s">
        <v>378</v>
      </c>
    </row>
    <row r="23" spans="1:7" ht="15.75" thickBot="1" x14ac:dyDescent="0.3">
      <c r="A23" s="108">
        <v>0</v>
      </c>
      <c r="B23" s="108">
        <v>1</v>
      </c>
      <c r="E23" s="47" t="s">
        <v>1290</v>
      </c>
      <c r="F23" s="44">
        <f>F22</f>
        <v>0</v>
      </c>
      <c r="G23" s="37"/>
    </row>
    <row r="25" spans="1:7" s="1" customFormat="1" ht="45" customHeight="1" x14ac:dyDescent="0.25">
      <c r="A25" s="108">
        <v>0</v>
      </c>
      <c r="B25" s="108">
        <v>1</v>
      </c>
      <c r="C25" s="51"/>
      <c r="D25" s="112"/>
      <c r="E25" s="152" t="s">
        <v>2080</v>
      </c>
      <c r="F25" s="147" t="s">
        <v>2053</v>
      </c>
      <c r="G25" s="159"/>
    </row>
    <row r="26" spans="1:7" s="1" customFormat="1" x14ac:dyDescent="0.25">
      <c r="A26" s="64"/>
      <c r="B26" s="64"/>
      <c r="C26" s="112"/>
      <c r="D26" s="112"/>
      <c r="E26" s="112"/>
      <c r="F26" s="56"/>
      <c r="G26" s="150"/>
    </row>
    <row r="27" spans="1:7" x14ac:dyDescent="0.25">
      <c r="A27" s="108">
        <v>9</v>
      </c>
      <c r="B27" s="108">
        <v>2</v>
      </c>
      <c r="C27" s="146">
        <v>9.0299999999999994</v>
      </c>
      <c r="D27" s="215" t="s">
        <v>237</v>
      </c>
      <c r="E27" s="215"/>
      <c r="F27" s="27" t="s">
        <v>320</v>
      </c>
      <c r="G27" s="146" t="s">
        <v>321</v>
      </c>
    </row>
    <row r="28" spans="1:7" x14ac:dyDescent="0.25">
      <c r="A28" s="108">
        <v>9</v>
      </c>
      <c r="B28" s="108">
        <v>2</v>
      </c>
      <c r="C28" s="25"/>
      <c r="D28" s="28" t="s">
        <v>322</v>
      </c>
      <c r="E28" s="28" t="s">
        <v>1291</v>
      </c>
      <c r="F28" s="31"/>
      <c r="G28" s="32" t="s">
        <v>1292</v>
      </c>
    </row>
    <row r="29" spans="1:7" ht="45" x14ac:dyDescent="0.25">
      <c r="A29" s="108">
        <v>9</v>
      </c>
      <c r="B29" s="108">
        <v>2</v>
      </c>
      <c r="C29" s="25"/>
      <c r="D29" s="28" t="s">
        <v>327</v>
      </c>
      <c r="E29" s="28" t="s">
        <v>1293</v>
      </c>
      <c r="F29" s="31"/>
      <c r="G29" s="32" t="s">
        <v>1294</v>
      </c>
    </row>
    <row r="30" spans="1:7" ht="45.75" thickBot="1" x14ac:dyDescent="0.3">
      <c r="A30" s="108">
        <v>9</v>
      </c>
      <c r="B30" s="108">
        <v>2</v>
      </c>
      <c r="C30" s="25"/>
      <c r="D30" s="28" t="s">
        <v>330</v>
      </c>
      <c r="E30" s="28" t="s">
        <v>1295</v>
      </c>
      <c r="F30" s="31"/>
      <c r="G30" s="32" t="s">
        <v>1296</v>
      </c>
    </row>
    <row r="31" spans="1:7" ht="15.75" thickBot="1" x14ac:dyDescent="0.3">
      <c r="A31" s="108">
        <v>9</v>
      </c>
      <c r="B31" s="108">
        <v>2</v>
      </c>
      <c r="E31" s="45" t="s">
        <v>1297</v>
      </c>
      <c r="F31" s="46">
        <f>IFERROR(F29/F28,0)</f>
        <v>0</v>
      </c>
      <c r="G31" s="37" t="s">
        <v>378</v>
      </c>
    </row>
    <row r="32" spans="1:7" ht="15.75" thickBot="1" x14ac:dyDescent="0.3">
      <c r="A32" s="108">
        <v>9</v>
      </c>
      <c r="B32" s="108">
        <v>2</v>
      </c>
      <c r="E32" s="47" t="s">
        <v>1298</v>
      </c>
      <c r="F32" s="44">
        <f>F31</f>
        <v>0</v>
      </c>
      <c r="G32" s="37"/>
    </row>
    <row r="34" spans="1:7" s="1" customFormat="1" ht="45" customHeight="1" x14ac:dyDescent="0.25">
      <c r="A34" s="108">
        <v>9</v>
      </c>
      <c r="B34" s="108">
        <v>2</v>
      </c>
      <c r="C34" s="51"/>
      <c r="D34" s="112"/>
      <c r="E34" s="152" t="s">
        <v>2080</v>
      </c>
      <c r="F34" s="147" t="s">
        <v>2053</v>
      </c>
      <c r="G34" s="159"/>
    </row>
    <row r="35" spans="1:7" s="1" customFormat="1" x14ac:dyDescent="0.25">
      <c r="A35" s="64"/>
      <c r="B35" s="64"/>
      <c r="C35" s="112"/>
      <c r="D35" s="112"/>
      <c r="E35" s="112"/>
      <c r="F35" s="56"/>
      <c r="G35" s="150"/>
    </row>
    <row r="36" spans="1:7" x14ac:dyDescent="0.25">
      <c r="A36" s="108">
        <v>9</v>
      </c>
      <c r="B36" s="108">
        <v>2</v>
      </c>
      <c r="C36" s="146">
        <v>9.0399999999999991</v>
      </c>
      <c r="D36" s="215" t="s">
        <v>238</v>
      </c>
      <c r="E36" s="215"/>
      <c r="F36" s="27" t="s">
        <v>320</v>
      </c>
      <c r="G36" s="146" t="s">
        <v>321</v>
      </c>
    </row>
    <row r="37" spans="1:7" x14ac:dyDescent="0.25">
      <c r="A37" s="108">
        <v>9</v>
      </c>
      <c r="B37" s="108">
        <v>2</v>
      </c>
      <c r="C37" s="25"/>
      <c r="D37" s="28" t="s">
        <v>322</v>
      </c>
      <c r="E37" s="28" t="s">
        <v>1299</v>
      </c>
      <c r="F37" s="31"/>
      <c r="G37" s="32" t="s">
        <v>1300</v>
      </c>
    </row>
    <row r="38" spans="1:7" ht="30" x14ac:dyDescent="0.25">
      <c r="A38" s="108">
        <v>9</v>
      </c>
      <c r="B38" s="108">
        <v>2</v>
      </c>
      <c r="C38" s="25"/>
      <c r="D38" s="28" t="s">
        <v>327</v>
      </c>
      <c r="E38" s="28" t="s">
        <v>1301</v>
      </c>
      <c r="F38" s="31"/>
      <c r="G38" s="32" t="s">
        <v>1302</v>
      </c>
    </row>
    <row r="39" spans="1:7" ht="30" x14ac:dyDescent="0.25">
      <c r="A39" s="108">
        <v>9</v>
      </c>
      <c r="B39" s="108">
        <v>2</v>
      </c>
      <c r="C39" s="25"/>
      <c r="D39" s="28" t="s">
        <v>330</v>
      </c>
      <c r="E39" s="28" t="s">
        <v>1303</v>
      </c>
      <c r="F39" s="31"/>
      <c r="G39" s="32" t="s">
        <v>1304</v>
      </c>
    </row>
    <row r="40" spans="1:7" x14ac:dyDescent="0.25">
      <c r="A40" s="108">
        <v>9</v>
      </c>
      <c r="B40" s="108">
        <v>2</v>
      </c>
      <c r="C40" s="25"/>
      <c r="D40" s="28" t="s">
        <v>332</v>
      </c>
      <c r="E40" s="28" t="s">
        <v>1305</v>
      </c>
      <c r="F40" s="31"/>
      <c r="G40" s="32" t="s">
        <v>1306</v>
      </c>
    </row>
    <row r="41" spans="1:7" ht="15.75" thickBot="1" x14ac:dyDescent="0.3">
      <c r="A41" s="108">
        <v>9</v>
      </c>
      <c r="B41" s="108">
        <v>2</v>
      </c>
      <c r="C41" s="25"/>
      <c r="D41" s="28" t="s">
        <v>335</v>
      </c>
      <c r="E41" s="28" t="s">
        <v>1307</v>
      </c>
      <c r="F41" s="31"/>
      <c r="G41" s="32" t="s">
        <v>1308</v>
      </c>
    </row>
    <row r="42" spans="1:7" ht="15.75" thickBot="1" x14ac:dyDescent="0.3">
      <c r="A42" s="108">
        <v>9</v>
      </c>
      <c r="B42" s="108">
        <v>2</v>
      </c>
      <c r="E42" s="45" t="s">
        <v>1309</v>
      </c>
      <c r="F42" s="46">
        <f>IFERROR(F38/F37,0)</f>
        <v>0</v>
      </c>
      <c r="G42" s="37" t="s">
        <v>378</v>
      </c>
    </row>
    <row r="43" spans="1:7" ht="15.75" thickBot="1" x14ac:dyDescent="0.3">
      <c r="A43" s="108">
        <v>9</v>
      </c>
      <c r="B43" s="108">
        <v>2</v>
      </c>
      <c r="E43" s="45" t="s">
        <v>1310</v>
      </c>
      <c r="F43" s="46">
        <f>IFERROR(F40/F37,0)</f>
        <v>0</v>
      </c>
      <c r="G43" s="37" t="s">
        <v>434</v>
      </c>
    </row>
    <row r="44" spans="1:7" ht="15.75" thickBot="1" x14ac:dyDescent="0.3">
      <c r="A44" s="108">
        <v>9</v>
      </c>
      <c r="B44" s="108">
        <v>2</v>
      </c>
      <c r="E44" s="47" t="s">
        <v>1311</v>
      </c>
      <c r="F44" s="44">
        <f>AVERAGE(F42:F43)</f>
        <v>0</v>
      </c>
      <c r="G44" s="106" t="s">
        <v>1312</v>
      </c>
    </row>
    <row r="46" spans="1:7" s="1" customFormat="1" ht="45" customHeight="1" x14ac:dyDescent="0.25">
      <c r="A46" s="108">
        <v>9</v>
      </c>
      <c r="B46" s="108">
        <v>2</v>
      </c>
      <c r="C46" s="51"/>
      <c r="D46" s="112"/>
      <c r="E46" s="152" t="s">
        <v>2080</v>
      </c>
      <c r="F46" s="147" t="s">
        <v>2053</v>
      </c>
      <c r="G46" s="159"/>
    </row>
    <row r="47" spans="1:7" s="1" customFormat="1" x14ac:dyDescent="0.25">
      <c r="A47" s="64"/>
      <c r="B47" s="64"/>
      <c r="C47" s="112"/>
      <c r="D47" s="112"/>
      <c r="E47" s="112"/>
      <c r="F47" s="56"/>
      <c r="G47" s="150"/>
    </row>
    <row r="48" spans="1:7" x14ac:dyDescent="0.25">
      <c r="A48" s="108">
        <v>9</v>
      </c>
      <c r="B48" s="108">
        <v>2</v>
      </c>
      <c r="C48" s="146">
        <v>9.0500000000000007</v>
      </c>
      <c r="D48" s="215" t="s">
        <v>239</v>
      </c>
      <c r="E48" s="215"/>
      <c r="F48" s="27" t="s">
        <v>320</v>
      </c>
      <c r="G48" s="146" t="s">
        <v>321</v>
      </c>
    </row>
    <row r="49" spans="1:7" x14ac:dyDescent="0.25">
      <c r="A49" s="108">
        <v>9</v>
      </c>
      <c r="B49" s="108">
        <v>2</v>
      </c>
      <c r="C49" s="25"/>
      <c r="D49" s="28" t="s">
        <v>322</v>
      </c>
      <c r="E49" s="28" t="s">
        <v>1313</v>
      </c>
      <c r="F49" s="31"/>
      <c r="G49" s="30" t="s">
        <v>1314</v>
      </c>
    </row>
    <row r="50" spans="1:7" x14ac:dyDescent="0.25">
      <c r="A50" s="108">
        <v>9</v>
      </c>
      <c r="B50" s="108">
        <v>2</v>
      </c>
      <c r="C50" s="25"/>
      <c r="D50" s="28" t="s">
        <v>327</v>
      </c>
      <c r="E50" s="28" t="s">
        <v>1315</v>
      </c>
      <c r="F50" s="31"/>
      <c r="G50" s="30" t="s">
        <v>1314</v>
      </c>
    </row>
    <row r="51" spans="1:7" x14ac:dyDescent="0.25">
      <c r="A51" s="108">
        <v>9</v>
      </c>
      <c r="B51" s="108">
        <v>2</v>
      </c>
      <c r="C51" s="25"/>
      <c r="D51" s="28" t="s">
        <v>330</v>
      </c>
      <c r="E51" s="28" t="s">
        <v>1316</v>
      </c>
      <c r="F51" s="31"/>
      <c r="G51" s="30" t="s">
        <v>1314</v>
      </c>
    </row>
    <row r="52" spans="1:7" x14ac:dyDescent="0.25">
      <c r="A52" s="108">
        <v>9</v>
      </c>
      <c r="B52" s="108">
        <v>2</v>
      </c>
      <c r="C52" s="25"/>
      <c r="D52" s="28" t="s">
        <v>332</v>
      </c>
      <c r="E52" s="28" t="s">
        <v>1317</v>
      </c>
      <c r="F52" s="31"/>
      <c r="G52" s="30" t="s">
        <v>1314</v>
      </c>
    </row>
    <row r="53" spans="1:7" x14ac:dyDescent="0.25">
      <c r="A53" s="108">
        <v>9</v>
      </c>
      <c r="B53" s="108">
        <v>2</v>
      </c>
      <c r="C53" s="25"/>
      <c r="D53" s="28" t="s">
        <v>335</v>
      </c>
      <c r="E53" s="28" t="s">
        <v>1318</v>
      </c>
      <c r="F53" s="31"/>
      <c r="G53" s="30" t="s">
        <v>1314</v>
      </c>
    </row>
    <row r="54" spans="1:7" ht="15.75" thickBot="1" x14ac:dyDescent="0.3">
      <c r="A54" s="108">
        <v>9</v>
      </c>
      <c r="B54" s="108">
        <v>2</v>
      </c>
      <c r="C54" s="25"/>
      <c r="D54" s="28" t="s">
        <v>338</v>
      </c>
      <c r="E54" s="28" t="s">
        <v>1319</v>
      </c>
      <c r="F54" s="31"/>
      <c r="G54" s="30" t="s">
        <v>1314</v>
      </c>
    </row>
    <row r="55" spans="1:7" ht="15.75" thickBot="1" x14ac:dyDescent="0.3">
      <c r="A55" s="108">
        <v>9</v>
      </c>
      <c r="B55" s="108">
        <v>2</v>
      </c>
      <c r="E55" s="45" t="s">
        <v>1320</v>
      </c>
      <c r="F55" s="46">
        <f>(F49+F50+F51+F52+F53+F54)/6</f>
        <v>0</v>
      </c>
      <c r="G55" s="37" t="s">
        <v>1321</v>
      </c>
    </row>
    <row r="56" spans="1:7" ht="15.75" thickBot="1" x14ac:dyDescent="0.3">
      <c r="A56" s="108">
        <v>9</v>
      </c>
      <c r="B56" s="108">
        <v>2</v>
      </c>
      <c r="E56" s="47" t="s">
        <v>1322</v>
      </c>
      <c r="F56" s="44">
        <f>F55</f>
        <v>0</v>
      </c>
      <c r="G56" s="37"/>
    </row>
    <row r="58" spans="1:7" s="1" customFormat="1" ht="45" customHeight="1" x14ac:dyDescent="0.25">
      <c r="A58" s="108">
        <v>9</v>
      </c>
      <c r="B58" s="108">
        <v>2</v>
      </c>
      <c r="C58" s="51"/>
      <c r="D58" s="112"/>
      <c r="E58" s="152" t="s">
        <v>2080</v>
      </c>
      <c r="F58" s="147" t="s">
        <v>2053</v>
      </c>
      <c r="G58" s="159"/>
    </row>
    <row r="59" spans="1:7" s="1" customFormat="1" x14ac:dyDescent="0.25">
      <c r="A59" s="64"/>
      <c r="B59" s="64"/>
      <c r="C59" s="112"/>
      <c r="D59" s="112"/>
      <c r="E59" s="112"/>
      <c r="F59" s="56"/>
      <c r="G59" s="150"/>
    </row>
    <row r="60" spans="1:7" x14ac:dyDescent="0.25">
      <c r="A60" s="108">
        <v>9</v>
      </c>
      <c r="B60" s="108">
        <v>2</v>
      </c>
      <c r="C60" s="146">
        <v>9.06</v>
      </c>
      <c r="D60" s="215" t="s">
        <v>240</v>
      </c>
      <c r="E60" s="215"/>
      <c r="F60" s="27" t="s">
        <v>320</v>
      </c>
      <c r="G60" s="146" t="s">
        <v>321</v>
      </c>
    </row>
    <row r="61" spans="1:7" x14ac:dyDescent="0.25">
      <c r="A61" s="108">
        <v>9</v>
      </c>
      <c r="B61" s="108">
        <v>2</v>
      </c>
      <c r="C61" s="25"/>
      <c r="D61" s="28" t="s">
        <v>322</v>
      </c>
      <c r="E61" s="28" t="s">
        <v>1323</v>
      </c>
      <c r="F61" s="31"/>
      <c r="G61" s="32" t="s">
        <v>1324</v>
      </c>
    </row>
    <row r="62" spans="1:7" x14ac:dyDescent="0.25">
      <c r="A62" s="108">
        <v>9</v>
      </c>
      <c r="B62" s="108">
        <v>2</v>
      </c>
      <c r="C62" s="25"/>
      <c r="D62" s="28" t="s">
        <v>327</v>
      </c>
      <c r="E62" s="28" t="s">
        <v>1325</v>
      </c>
      <c r="F62" s="31"/>
      <c r="G62" s="32" t="s">
        <v>1326</v>
      </c>
    </row>
    <row r="63" spans="1:7" ht="15.75" thickBot="1" x14ac:dyDescent="0.3">
      <c r="A63" s="108">
        <v>9</v>
      </c>
      <c r="B63" s="108">
        <v>2</v>
      </c>
      <c r="C63" s="25"/>
      <c r="D63" s="28" t="s">
        <v>330</v>
      </c>
      <c r="E63" s="28" t="s">
        <v>1327</v>
      </c>
      <c r="F63" s="31"/>
      <c r="G63" s="32" t="s">
        <v>1328</v>
      </c>
    </row>
    <row r="64" spans="1:7" ht="15.75" thickBot="1" x14ac:dyDescent="0.3">
      <c r="A64" s="108">
        <v>9</v>
      </c>
      <c r="B64" s="108">
        <v>2</v>
      </c>
      <c r="E64" s="45" t="s">
        <v>1329</v>
      </c>
      <c r="F64" s="46">
        <f>IFERROR(F62/F61,0)</f>
        <v>0</v>
      </c>
      <c r="G64" s="37" t="s">
        <v>378</v>
      </c>
    </row>
    <row r="65" spans="1:7" ht="15.75" thickBot="1" x14ac:dyDescent="0.3">
      <c r="A65" s="108">
        <v>9</v>
      </c>
      <c r="B65" s="108">
        <v>2</v>
      </c>
      <c r="E65" s="47" t="s">
        <v>1330</v>
      </c>
      <c r="F65" s="44">
        <f>F64</f>
        <v>0</v>
      </c>
      <c r="G65" s="37"/>
    </row>
    <row r="67" spans="1:7" s="1" customFormat="1" ht="45" customHeight="1" x14ac:dyDescent="0.25">
      <c r="A67" s="108">
        <v>9</v>
      </c>
      <c r="B67" s="108">
        <v>2</v>
      </c>
      <c r="C67" s="51"/>
      <c r="D67" s="112"/>
      <c r="E67" s="152" t="s">
        <v>2080</v>
      </c>
      <c r="F67" s="147" t="s">
        <v>2053</v>
      </c>
      <c r="G67" s="159"/>
    </row>
    <row r="68" spans="1:7" s="1" customFormat="1" x14ac:dyDescent="0.25">
      <c r="A68" s="64"/>
      <c r="B68" s="64"/>
      <c r="C68" s="112"/>
      <c r="D68" s="112"/>
      <c r="E68" s="112"/>
      <c r="F68" s="56"/>
      <c r="G68" s="150"/>
    </row>
    <row r="69" spans="1:7" x14ac:dyDescent="0.25">
      <c r="A69" s="108">
        <v>9</v>
      </c>
      <c r="B69" s="108">
        <v>3</v>
      </c>
      <c r="C69" s="146">
        <v>9.07</v>
      </c>
      <c r="D69" s="215" t="s">
        <v>241</v>
      </c>
      <c r="E69" s="215"/>
      <c r="F69" s="27" t="s">
        <v>320</v>
      </c>
      <c r="G69" s="146" t="s">
        <v>321</v>
      </c>
    </row>
    <row r="70" spans="1:7" x14ac:dyDescent="0.25">
      <c r="A70" s="108">
        <v>9</v>
      </c>
      <c r="B70" s="108">
        <v>3</v>
      </c>
      <c r="C70" s="25"/>
      <c r="D70" s="28" t="s">
        <v>322</v>
      </c>
      <c r="E70" s="28" t="s">
        <v>1331</v>
      </c>
      <c r="F70" s="31"/>
      <c r="G70" s="32" t="s">
        <v>1332</v>
      </c>
    </row>
    <row r="71" spans="1:7" x14ac:dyDescent="0.25">
      <c r="A71" s="108">
        <v>9</v>
      </c>
      <c r="B71" s="108">
        <v>3</v>
      </c>
      <c r="C71" s="25"/>
      <c r="D71" s="28" t="s">
        <v>327</v>
      </c>
      <c r="E71" s="28" t="s">
        <v>1333</v>
      </c>
      <c r="F71" s="31"/>
      <c r="G71" s="32" t="s">
        <v>1334</v>
      </c>
    </row>
    <row r="72" spans="1:7" ht="15.75" thickBot="1" x14ac:dyDescent="0.3">
      <c r="A72" s="108">
        <v>9</v>
      </c>
      <c r="B72" s="108">
        <v>3</v>
      </c>
      <c r="C72" s="25"/>
      <c r="D72" s="28" t="s">
        <v>330</v>
      </c>
      <c r="E72" s="28" t="s">
        <v>1335</v>
      </c>
      <c r="F72" s="31"/>
      <c r="G72" s="32" t="s">
        <v>1336</v>
      </c>
    </row>
    <row r="73" spans="1:7" ht="15.75" thickBot="1" x14ac:dyDescent="0.3">
      <c r="A73" s="108">
        <v>9</v>
      </c>
      <c r="B73" s="108">
        <v>3</v>
      </c>
      <c r="E73" s="45" t="s">
        <v>1337</v>
      </c>
      <c r="F73" s="46">
        <f>IFERROR(F71/F70,0)</f>
        <v>0</v>
      </c>
      <c r="G73" s="37" t="s">
        <v>378</v>
      </c>
    </row>
    <row r="74" spans="1:7" ht="15.75" thickBot="1" x14ac:dyDescent="0.3">
      <c r="A74" s="108">
        <v>9</v>
      </c>
      <c r="B74" s="108">
        <v>3</v>
      </c>
      <c r="E74" s="47" t="s">
        <v>1338</v>
      </c>
      <c r="F74" s="44">
        <f>F73</f>
        <v>0</v>
      </c>
      <c r="G74" s="37"/>
    </row>
    <row r="76" spans="1:7" s="1" customFormat="1" ht="45" customHeight="1" x14ac:dyDescent="0.25">
      <c r="A76" s="108">
        <v>9</v>
      </c>
      <c r="B76" s="108">
        <v>3</v>
      </c>
      <c r="C76" s="51"/>
      <c r="D76" s="112"/>
      <c r="E76" s="152" t="s">
        <v>2080</v>
      </c>
      <c r="F76" s="147" t="s">
        <v>2053</v>
      </c>
      <c r="G76" s="159"/>
    </row>
    <row r="77" spans="1:7" s="1" customFormat="1" x14ac:dyDescent="0.25">
      <c r="A77" s="64"/>
      <c r="B77" s="64"/>
      <c r="C77" s="112"/>
      <c r="D77" s="112"/>
      <c r="E77" s="112"/>
      <c r="F77" s="56"/>
      <c r="G77" s="150"/>
    </row>
  </sheetData>
  <sheetProtection algorithmName="SHA-512" hashValue="dsZnCq9XuJPW0EbSjLCIEjDlgSs64BV5Biz7lcgGSyzlYAFatr/ZV5mPzQLyAIcpnmohMWHaj3OkaWkz3XBbHg==" saltValue="J8Znn1Xo3CX8d4fJL9lzfA==" spinCount="100000" sheet="1" formatRows="0" selectLockedCells="1"/>
  <mergeCells count="8">
    <mergeCell ref="D48:E48"/>
    <mergeCell ref="D60:E60"/>
    <mergeCell ref="D69:E69"/>
    <mergeCell ref="C2:E2"/>
    <mergeCell ref="D4:E4"/>
    <mergeCell ref="D18:E18"/>
    <mergeCell ref="D27:E27"/>
    <mergeCell ref="D36:E36"/>
  </mergeCells>
  <conditionalFormatting sqref="E1:E1048576">
    <cfRule type="containsText" dxfId="31" priority="2" operator="containsText" text="Safeguard Scoring Complete">
      <formula>NOT(ISERROR(SEARCH("Safeguard Scoring Complete",E1)))</formula>
    </cfRule>
    <cfRule type="containsText" dxfId="30" priority="10" operator="containsText" text="Safeguard Scoring Incomplete">
      <formula>NOT(ISERROR(SEARCH("Safeguard Scoring Incomplete",E1)))</formula>
    </cfRule>
  </conditionalFormatting>
  <dataValidations count="3">
    <dataValidation type="list" allowBlank="1" showInputMessage="1" showErrorMessage="1" sqref="F2" xr:uid="{795976B6-6DEF-45C0-BE95-C4B9C0436496}">
      <formula1>"Assessed,Not Assessed"</formula1>
    </dataValidation>
    <dataValidation type="list" allowBlank="1" showInputMessage="1" showErrorMessage="1" sqref="F49:F54" xr:uid="{EE45DFBE-EC47-49D5-86A5-0F6C3E3F9CF9}">
      <formula1>"0,1"</formula1>
    </dataValidation>
    <dataValidation type="list" allowBlank="1" showInputMessage="1" showErrorMessage="1" sqref="E16 E25 E34 E46 E58 E67 E76" xr:uid="{C9372899-88C4-4AA2-8E2F-8567D6456F05}">
      <formula1>"Safeguard Scoring Complete,Safeguard Scoring Incomplete"</formula1>
    </dataValidation>
  </dataValidations>
  <hyperlinks>
    <hyperlink ref="G2" r:id="rId1" xr:uid="{81A9E715-EF5D-4312-909F-59CE3ED5F9BB}"/>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A99FF6C-4905-4A2B-9924-CF15A7CB8A98}">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A26E1-4333-4E33-A249-68483BB545A7}">
  <sheetPr codeName="Sheet13"/>
  <dimension ref="A2:G74"/>
  <sheetViews>
    <sheetView showGridLines="0" topLeftCell="A14" zoomScaleNormal="100" workbookViewId="0">
      <selection activeCell="F17" sqref="F17"/>
    </sheetView>
  </sheetViews>
  <sheetFormatPr defaultColWidth="9.140625" defaultRowHeight="15" x14ac:dyDescent="0.25"/>
  <cols>
    <col min="1" max="2" width="2.7109375" style="108" customWidth="1"/>
    <col min="3" max="3" width="7.570312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1339</v>
      </c>
      <c r="D2" s="214"/>
      <c r="E2" s="214"/>
      <c r="F2" s="100" t="s">
        <v>318</v>
      </c>
      <c r="G2" s="208" t="s">
        <v>2194</v>
      </c>
    </row>
    <row r="4" spans="1:7" x14ac:dyDescent="0.25">
      <c r="A4" s="108">
        <v>0</v>
      </c>
      <c r="B4" s="108">
        <v>1</v>
      </c>
      <c r="C4" s="146">
        <v>10.01</v>
      </c>
      <c r="D4" s="215" t="s">
        <v>242</v>
      </c>
      <c r="E4" s="215"/>
      <c r="F4" s="27" t="s">
        <v>320</v>
      </c>
      <c r="G4" s="146" t="s">
        <v>321</v>
      </c>
    </row>
    <row r="5" spans="1:7" ht="30" x14ac:dyDescent="0.25">
      <c r="A5" s="108">
        <v>0</v>
      </c>
      <c r="B5" s="108">
        <v>1</v>
      </c>
      <c r="C5" s="25"/>
      <c r="D5" s="28" t="s">
        <v>322</v>
      </c>
      <c r="E5" s="28" t="s">
        <v>1340</v>
      </c>
      <c r="F5" s="31"/>
      <c r="G5" s="32" t="s">
        <v>1341</v>
      </c>
    </row>
    <row r="6" spans="1:7" x14ac:dyDescent="0.25">
      <c r="A6" s="108">
        <v>0</v>
      </c>
      <c r="B6" s="108">
        <v>1</v>
      </c>
      <c r="C6" s="25"/>
      <c r="D6" s="28" t="s">
        <v>327</v>
      </c>
      <c r="E6" s="28" t="s">
        <v>1342</v>
      </c>
      <c r="F6" s="31"/>
      <c r="G6" s="32" t="s">
        <v>1343</v>
      </c>
    </row>
    <row r="7" spans="1:7" x14ac:dyDescent="0.25">
      <c r="A7" s="108">
        <v>0</v>
      </c>
      <c r="B7" s="108">
        <v>1</v>
      </c>
      <c r="C7" s="25"/>
      <c r="D7" s="28" t="s">
        <v>330</v>
      </c>
      <c r="E7" s="28" t="s">
        <v>1344</v>
      </c>
      <c r="F7" s="31"/>
      <c r="G7" s="32" t="s">
        <v>1345</v>
      </c>
    </row>
    <row r="8" spans="1:7" x14ac:dyDescent="0.25">
      <c r="A8" s="108">
        <v>0</v>
      </c>
      <c r="B8" s="108">
        <v>1</v>
      </c>
      <c r="C8" s="25"/>
      <c r="D8" s="28" t="s">
        <v>332</v>
      </c>
      <c r="E8" s="28" t="s">
        <v>1346</v>
      </c>
      <c r="F8" s="29">
        <f>F5-(F6+F7)</f>
        <v>0</v>
      </c>
      <c r="G8" s="30" t="s">
        <v>1347</v>
      </c>
    </row>
    <row r="9" spans="1:7" x14ac:dyDescent="0.25">
      <c r="A9" s="108">
        <v>0</v>
      </c>
      <c r="B9" s="108">
        <v>1</v>
      </c>
      <c r="C9" s="25"/>
      <c r="D9" s="28" t="s">
        <v>335</v>
      </c>
      <c r="E9" s="28" t="s">
        <v>1348</v>
      </c>
      <c r="F9" s="31"/>
      <c r="G9" s="32" t="s">
        <v>1349</v>
      </c>
    </row>
    <row r="10" spans="1:7" ht="15.75" thickBot="1" x14ac:dyDescent="0.3">
      <c r="A10" s="108">
        <v>0</v>
      </c>
      <c r="B10" s="108">
        <v>1</v>
      </c>
      <c r="C10" s="25"/>
      <c r="D10" s="28" t="s">
        <v>338</v>
      </c>
      <c r="E10" s="28" t="s">
        <v>1350</v>
      </c>
      <c r="F10" s="29">
        <f>F6-F9</f>
        <v>0</v>
      </c>
      <c r="G10" s="30" t="s">
        <v>1351</v>
      </c>
    </row>
    <row r="11" spans="1:7" ht="15.75" thickBot="1" x14ac:dyDescent="0.3">
      <c r="A11" s="108">
        <v>0</v>
      </c>
      <c r="B11" s="108">
        <v>1</v>
      </c>
      <c r="E11" s="45" t="s">
        <v>1352</v>
      </c>
      <c r="F11" s="46">
        <f>IFERROR(F9/F5,0)</f>
        <v>0</v>
      </c>
      <c r="G11" s="37" t="s">
        <v>1353</v>
      </c>
    </row>
    <row r="12" spans="1:7" ht="15.75" thickBot="1" x14ac:dyDescent="0.3">
      <c r="A12" s="108">
        <v>0</v>
      </c>
      <c r="B12" s="108">
        <v>1</v>
      </c>
      <c r="E12" s="47" t="s">
        <v>1354</v>
      </c>
      <c r="F12" s="44">
        <f>F11</f>
        <v>0</v>
      </c>
      <c r="G12" s="37"/>
    </row>
    <row r="14" spans="1:7" s="1" customFormat="1" ht="45" customHeight="1" x14ac:dyDescent="0.25">
      <c r="A14" s="108">
        <v>0</v>
      </c>
      <c r="B14" s="108">
        <v>1</v>
      </c>
      <c r="C14" s="112"/>
      <c r="D14" s="112"/>
      <c r="E14" s="152" t="s">
        <v>2080</v>
      </c>
      <c r="F14" s="147" t="s">
        <v>2053</v>
      </c>
      <c r="G14" s="159"/>
    </row>
    <row r="15" spans="1:7" s="1" customFormat="1" x14ac:dyDescent="0.25">
      <c r="A15" s="64"/>
      <c r="B15" s="64"/>
      <c r="C15" s="112"/>
      <c r="D15" s="112"/>
      <c r="E15" s="112"/>
      <c r="F15" s="56"/>
      <c r="G15" s="150"/>
    </row>
    <row r="16" spans="1:7" x14ac:dyDescent="0.25">
      <c r="A16" s="108">
        <v>0</v>
      </c>
      <c r="B16" s="108">
        <v>1</v>
      </c>
      <c r="C16" s="146">
        <v>10.02</v>
      </c>
      <c r="D16" s="215" t="s">
        <v>243</v>
      </c>
      <c r="E16" s="215"/>
      <c r="F16" s="27" t="s">
        <v>320</v>
      </c>
      <c r="G16" s="146" t="s">
        <v>321</v>
      </c>
    </row>
    <row r="17" spans="1:7" ht="30" x14ac:dyDescent="0.25">
      <c r="A17" s="108">
        <v>0</v>
      </c>
      <c r="B17" s="108">
        <v>1</v>
      </c>
      <c r="C17" s="25"/>
      <c r="D17" s="28" t="s">
        <v>322</v>
      </c>
      <c r="E17" s="28" t="s">
        <v>1340</v>
      </c>
      <c r="F17" s="31"/>
      <c r="G17" s="32" t="s">
        <v>1341</v>
      </c>
    </row>
    <row r="18" spans="1:7" ht="30" x14ac:dyDescent="0.25">
      <c r="A18" s="108">
        <v>0</v>
      </c>
      <c r="B18" s="108">
        <v>1</v>
      </c>
      <c r="C18" s="25"/>
      <c r="D18" s="28" t="s">
        <v>327</v>
      </c>
      <c r="E18" s="28" t="s">
        <v>1356</v>
      </c>
      <c r="F18" s="31"/>
      <c r="G18" s="32" t="s">
        <v>1357</v>
      </c>
    </row>
    <row r="19" spans="1:7" ht="15.75" thickBot="1" x14ac:dyDescent="0.3">
      <c r="A19" s="108">
        <v>0</v>
      </c>
      <c r="B19" s="108">
        <v>1</v>
      </c>
      <c r="C19" s="25"/>
      <c r="D19" s="28" t="s">
        <v>330</v>
      </c>
      <c r="E19" s="28" t="s">
        <v>1358</v>
      </c>
      <c r="F19" s="29">
        <f>F17-F18</f>
        <v>0</v>
      </c>
      <c r="G19" s="30" t="s">
        <v>1359</v>
      </c>
    </row>
    <row r="20" spans="1:7" ht="15.75" thickBot="1" x14ac:dyDescent="0.3">
      <c r="A20" s="108">
        <v>0</v>
      </c>
      <c r="B20" s="108">
        <v>1</v>
      </c>
      <c r="E20" s="45" t="s">
        <v>1360</v>
      </c>
      <c r="F20" s="46">
        <f>IFERROR(F18/F17,0)</f>
        <v>0</v>
      </c>
      <c r="G20" s="37" t="s">
        <v>378</v>
      </c>
    </row>
    <row r="21" spans="1:7" ht="15.75" thickBot="1" x14ac:dyDescent="0.3">
      <c r="A21" s="108">
        <v>0</v>
      </c>
      <c r="B21" s="108">
        <v>1</v>
      </c>
      <c r="E21" s="47" t="s">
        <v>1361</v>
      </c>
      <c r="F21" s="44">
        <f>F20</f>
        <v>0</v>
      </c>
      <c r="G21" s="37"/>
    </row>
    <row r="23" spans="1:7" s="1" customFormat="1" ht="45" customHeight="1" x14ac:dyDescent="0.25">
      <c r="A23" s="108">
        <v>0</v>
      </c>
      <c r="B23" s="108">
        <v>1</v>
      </c>
      <c r="C23" s="51"/>
      <c r="D23" s="112"/>
      <c r="E23" s="152" t="s">
        <v>2080</v>
      </c>
      <c r="F23" s="147" t="s">
        <v>2053</v>
      </c>
      <c r="G23" s="159"/>
    </row>
    <row r="24" spans="1:7" s="1" customFormat="1" x14ac:dyDescent="0.25">
      <c r="A24" s="64"/>
      <c r="B24" s="64"/>
      <c r="C24" s="112"/>
      <c r="D24" s="112"/>
      <c r="E24" s="112"/>
      <c r="F24" s="56"/>
      <c r="G24" s="150"/>
    </row>
    <row r="25" spans="1:7" x14ac:dyDescent="0.25">
      <c r="A25" s="108">
        <v>0</v>
      </c>
      <c r="B25" s="108">
        <v>1</v>
      </c>
      <c r="C25" s="146">
        <v>10.029999999999999</v>
      </c>
      <c r="D25" s="215" t="s">
        <v>244</v>
      </c>
      <c r="E25" s="215"/>
      <c r="F25" s="27" t="s">
        <v>320</v>
      </c>
      <c r="G25" s="146" t="s">
        <v>321</v>
      </c>
    </row>
    <row r="26" spans="1:7" ht="30" x14ac:dyDescent="0.25">
      <c r="A26" s="108">
        <v>0</v>
      </c>
      <c r="B26" s="108">
        <v>1</v>
      </c>
      <c r="C26" s="25"/>
      <c r="D26" s="28" t="s">
        <v>322</v>
      </c>
      <c r="E26" s="28" t="s">
        <v>1362</v>
      </c>
      <c r="F26" s="31">
        <v>0</v>
      </c>
      <c r="G26" s="32" t="s">
        <v>2180</v>
      </c>
    </row>
    <row r="27" spans="1:7" x14ac:dyDescent="0.25">
      <c r="C27" s="25"/>
      <c r="D27" s="28" t="s">
        <v>327</v>
      </c>
      <c r="E27" s="28" t="s">
        <v>2173</v>
      </c>
      <c r="F27" s="29">
        <f>SUM(F28:F30)</f>
        <v>0</v>
      </c>
      <c r="G27" s="32"/>
    </row>
    <row r="28" spans="1:7" x14ac:dyDescent="0.25">
      <c r="C28" s="25"/>
      <c r="D28" s="28" t="s">
        <v>400</v>
      </c>
      <c r="E28" s="28" t="s">
        <v>2174</v>
      </c>
      <c r="F28" s="31">
        <v>0</v>
      </c>
      <c r="G28" s="32" t="s">
        <v>2175</v>
      </c>
    </row>
    <row r="29" spans="1:7" x14ac:dyDescent="0.25">
      <c r="C29" s="25"/>
      <c r="D29" s="28" t="s">
        <v>403</v>
      </c>
      <c r="E29" s="28" t="s">
        <v>2176</v>
      </c>
      <c r="F29" s="31">
        <v>0</v>
      </c>
      <c r="G29" s="32" t="s">
        <v>2177</v>
      </c>
    </row>
    <row r="30" spans="1:7" x14ac:dyDescent="0.25">
      <c r="A30" s="108">
        <v>0</v>
      </c>
      <c r="B30" s="108">
        <v>1</v>
      </c>
      <c r="C30" s="25"/>
      <c r="D30" s="28" t="s">
        <v>405</v>
      </c>
      <c r="E30" s="28" t="s">
        <v>2178</v>
      </c>
      <c r="F30" s="31">
        <v>0</v>
      </c>
      <c r="G30" s="32" t="s">
        <v>2179</v>
      </c>
    </row>
    <row r="31" spans="1:7" ht="15.75" thickBot="1" x14ac:dyDescent="0.3">
      <c r="A31" s="108">
        <v>0</v>
      </c>
      <c r="B31" s="108">
        <v>1</v>
      </c>
      <c r="C31" s="25"/>
      <c r="D31" s="28" t="s">
        <v>330</v>
      </c>
      <c r="E31" s="28" t="s">
        <v>2182</v>
      </c>
      <c r="F31" s="29">
        <f>(F26*3)-F27</f>
        <v>0</v>
      </c>
      <c r="G31" s="30" t="s">
        <v>2181</v>
      </c>
    </row>
    <row r="32" spans="1:7" ht="30.75" thickBot="1" x14ac:dyDescent="0.3">
      <c r="A32" s="108">
        <v>0</v>
      </c>
      <c r="B32" s="108">
        <v>1</v>
      </c>
      <c r="E32" s="45" t="s">
        <v>1364</v>
      </c>
      <c r="F32" s="46">
        <f>IFERROR(F27/(F26*3),0)</f>
        <v>0</v>
      </c>
      <c r="G32" s="37" t="s">
        <v>2172</v>
      </c>
    </row>
    <row r="33" spans="1:7" ht="15.75" thickBot="1" x14ac:dyDescent="0.3">
      <c r="A33" s="108">
        <v>0</v>
      </c>
      <c r="B33" s="108">
        <v>1</v>
      </c>
      <c r="E33" s="47" t="s">
        <v>1365</v>
      </c>
      <c r="F33" s="44">
        <f>F32</f>
        <v>0</v>
      </c>
      <c r="G33" s="37"/>
    </row>
    <row r="35" spans="1:7" s="1" customFormat="1" ht="45" customHeight="1" x14ac:dyDescent="0.25">
      <c r="A35" s="108">
        <v>0</v>
      </c>
      <c r="B35" s="108">
        <v>1</v>
      </c>
      <c r="C35" s="112"/>
      <c r="D35" s="112"/>
      <c r="E35" s="152" t="s">
        <v>2080</v>
      </c>
      <c r="F35" s="147" t="s">
        <v>2053</v>
      </c>
      <c r="G35" s="159"/>
    </row>
    <row r="36" spans="1:7" s="1" customFormat="1" x14ac:dyDescent="0.25">
      <c r="A36" s="64"/>
      <c r="B36" s="64"/>
      <c r="C36" s="112"/>
      <c r="D36" s="112"/>
      <c r="E36" s="112"/>
      <c r="F36" s="56"/>
      <c r="G36" s="150"/>
    </row>
    <row r="37" spans="1:7" x14ac:dyDescent="0.25">
      <c r="A37" s="108">
        <v>9</v>
      </c>
      <c r="B37" s="108">
        <v>2</v>
      </c>
      <c r="C37" s="146">
        <v>10.039999999999999</v>
      </c>
      <c r="D37" s="215" t="s">
        <v>245</v>
      </c>
      <c r="E37" s="215"/>
      <c r="F37" s="27" t="s">
        <v>320</v>
      </c>
      <c r="G37" s="146" t="s">
        <v>321</v>
      </c>
    </row>
    <row r="38" spans="1:7" x14ac:dyDescent="0.25">
      <c r="A38" s="108">
        <v>9</v>
      </c>
      <c r="B38" s="108">
        <v>2</v>
      </c>
      <c r="C38" s="25"/>
      <c r="D38" s="28" t="s">
        <v>322</v>
      </c>
      <c r="E38" s="28" t="s">
        <v>1340</v>
      </c>
      <c r="F38" s="29">
        <f>F5</f>
        <v>0</v>
      </c>
      <c r="G38" s="30" t="s">
        <v>1355</v>
      </c>
    </row>
    <row r="39" spans="1:7" x14ac:dyDescent="0.25">
      <c r="A39" s="108">
        <v>9</v>
      </c>
      <c r="B39" s="108">
        <v>2</v>
      </c>
      <c r="C39" s="25"/>
      <c r="D39" s="28" t="s">
        <v>327</v>
      </c>
      <c r="E39" s="28" t="s">
        <v>1366</v>
      </c>
      <c r="F39" s="31"/>
      <c r="G39" s="32" t="s">
        <v>1367</v>
      </c>
    </row>
    <row r="40" spans="1:7" ht="15.75" thickBot="1" x14ac:dyDescent="0.3">
      <c r="A40" s="108">
        <v>9</v>
      </c>
      <c r="B40" s="108">
        <v>2</v>
      </c>
      <c r="C40" s="25"/>
      <c r="D40" s="28" t="s">
        <v>330</v>
      </c>
      <c r="E40" s="28" t="s">
        <v>1368</v>
      </c>
      <c r="F40" s="29">
        <f>F38-F39</f>
        <v>0</v>
      </c>
      <c r="G40" s="30" t="s">
        <v>1369</v>
      </c>
    </row>
    <row r="41" spans="1:7" ht="30.75" thickBot="1" x14ac:dyDescent="0.3">
      <c r="A41" s="108">
        <v>9</v>
      </c>
      <c r="B41" s="108">
        <v>2</v>
      </c>
      <c r="E41" s="45" t="s">
        <v>1370</v>
      </c>
      <c r="F41" s="46">
        <f>IFERROR(F39/F38,0)</f>
        <v>0</v>
      </c>
      <c r="G41" s="37" t="s">
        <v>378</v>
      </c>
    </row>
    <row r="42" spans="1:7" ht="15.75" thickBot="1" x14ac:dyDescent="0.3">
      <c r="A42" s="108">
        <v>9</v>
      </c>
      <c r="B42" s="108">
        <v>2</v>
      </c>
      <c r="E42" s="47" t="s">
        <v>1371</v>
      </c>
      <c r="F42" s="44">
        <f>F41</f>
        <v>0</v>
      </c>
      <c r="G42" s="37"/>
    </row>
    <row r="44" spans="1:7" s="1" customFormat="1" ht="45" customHeight="1" x14ac:dyDescent="0.25">
      <c r="A44" s="108">
        <v>9</v>
      </c>
      <c r="B44" s="108">
        <v>2</v>
      </c>
      <c r="C44" s="51"/>
      <c r="D44" s="112"/>
      <c r="E44" s="152" t="s">
        <v>2080</v>
      </c>
      <c r="F44" s="147" t="s">
        <v>2053</v>
      </c>
      <c r="G44" s="159"/>
    </row>
    <row r="45" spans="1:7" s="1" customFormat="1" x14ac:dyDescent="0.25">
      <c r="A45" s="64"/>
      <c r="B45" s="64"/>
      <c r="C45" s="112"/>
      <c r="D45" s="112"/>
      <c r="E45" s="112"/>
      <c r="F45" s="56"/>
      <c r="G45" s="150"/>
    </row>
    <row r="46" spans="1:7" x14ac:dyDescent="0.25">
      <c r="A46" s="108">
        <v>9</v>
      </c>
      <c r="B46" s="108">
        <v>2</v>
      </c>
      <c r="C46" s="146">
        <v>10.050000000000001</v>
      </c>
      <c r="D46" s="215" t="s">
        <v>246</v>
      </c>
      <c r="E46" s="215"/>
      <c r="F46" s="27" t="s">
        <v>320</v>
      </c>
      <c r="G46" s="146" t="s">
        <v>321</v>
      </c>
    </row>
    <row r="47" spans="1:7" x14ac:dyDescent="0.25">
      <c r="A47" s="108">
        <v>9</v>
      </c>
      <c r="B47" s="108">
        <v>2</v>
      </c>
      <c r="C47" s="25"/>
      <c r="D47" s="28" t="s">
        <v>322</v>
      </c>
      <c r="E47" s="28" t="s">
        <v>1372</v>
      </c>
      <c r="F47" s="29">
        <f>F5</f>
        <v>0</v>
      </c>
      <c r="G47" s="30" t="s">
        <v>1373</v>
      </c>
    </row>
    <row r="48" spans="1:7" x14ac:dyDescent="0.25">
      <c r="A48" s="108">
        <v>9</v>
      </c>
      <c r="B48" s="108">
        <v>2</v>
      </c>
      <c r="C48" s="25"/>
      <c r="D48" s="28" t="s">
        <v>327</v>
      </c>
      <c r="E48" s="28" t="s">
        <v>1374</v>
      </c>
      <c r="F48" s="31"/>
      <c r="G48" s="32" t="s">
        <v>1375</v>
      </c>
    </row>
    <row r="49" spans="1:7" ht="15.75" thickBot="1" x14ac:dyDescent="0.3">
      <c r="A49" s="108">
        <v>9</v>
      </c>
      <c r="B49" s="108">
        <v>2</v>
      </c>
      <c r="C49" s="25"/>
      <c r="D49" s="28" t="s">
        <v>330</v>
      </c>
      <c r="E49" s="28" t="s">
        <v>1376</v>
      </c>
      <c r="F49" s="29">
        <f>F47-F48</f>
        <v>0</v>
      </c>
      <c r="G49" s="30" t="s">
        <v>1377</v>
      </c>
    </row>
    <row r="50" spans="1:7" ht="15.75" thickBot="1" x14ac:dyDescent="0.3">
      <c r="A50" s="108">
        <v>9</v>
      </c>
      <c r="B50" s="108">
        <v>2</v>
      </c>
      <c r="E50" s="45" t="s">
        <v>1378</v>
      </c>
      <c r="F50" s="46">
        <f>IFERROR(F48/F47,0)</f>
        <v>0</v>
      </c>
      <c r="G50" s="37" t="s">
        <v>378</v>
      </c>
    </row>
    <row r="51" spans="1:7" ht="15.75" thickBot="1" x14ac:dyDescent="0.3">
      <c r="A51" s="108">
        <v>9</v>
      </c>
      <c r="B51" s="108">
        <v>2</v>
      </c>
      <c r="E51" s="47" t="s">
        <v>1379</v>
      </c>
      <c r="F51" s="44">
        <f>F50</f>
        <v>0</v>
      </c>
      <c r="G51" s="37"/>
    </row>
    <row r="53" spans="1:7" s="1" customFormat="1" ht="45" customHeight="1" x14ac:dyDescent="0.25">
      <c r="A53" s="108">
        <v>9</v>
      </c>
      <c r="B53" s="108">
        <v>2</v>
      </c>
      <c r="C53" s="112"/>
      <c r="D53" s="112"/>
      <c r="E53" s="152" t="s">
        <v>2080</v>
      </c>
      <c r="F53" s="147" t="s">
        <v>2053</v>
      </c>
      <c r="G53" s="159"/>
    </row>
    <row r="54" spans="1:7" s="1" customFormat="1" x14ac:dyDescent="0.25">
      <c r="A54" s="64"/>
      <c r="B54" s="64"/>
      <c r="C54" s="112"/>
      <c r="D54" s="112"/>
      <c r="E54" s="112"/>
      <c r="F54" s="56"/>
      <c r="G54" s="150"/>
    </row>
    <row r="55" spans="1:7" x14ac:dyDescent="0.25">
      <c r="A55" s="108">
        <v>9</v>
      </c>
      <c r="B55" s="108">
        <v>2</v>
      </c>
      <c r="C55" s="146">
        <v>10.06</v>
      </c>
      <c r="D55" s="215" t="s">
        <v>247</v>
      </c>
      <c r="E55" s="215"/>
      <c r="F55" s="27" t="s">
        <v>320</v>
      </c>
      <c r="G55" s="146" t="s">
        <v>321</v>
      </c>
    </row>
    <row r="56" spans="1:7" x14ac:dyDescent="0.25">
      <c r="A56" s="108">
        <v>9</v>
      </c>
      <c r="B56" s="108">
        <v>2</v>
      </c>
      <c r="C56" s="25"/>
      <c r="D56" s="28" t="s">
        <v>322</v>
      </c>
      <c r="E56" s="28" t="s">
        <v>1380</v>
      </c>
      <c r="F56" s="31"/>
      <c r="G56" s="32" t="s">
        <v>1381</v>
      </c>
    </row>
    <row r="57" spans="1:7" x14ac:dyDescent="0.25">
      <c r="A57" s="108">
        <v>9</v>
      </c>
      <c r="B57" s="108">
        <v>2</v>
      </c>
      <c r="C57" s="25"/>
      <c r="D57" s="28" t="s">
        <v>327</v>
      </c>
      <c r="E57" s="28" t="s">
        <v>1382</v>
      </c>
      <c r="F57" s="31"/>
      <c r="G57" s="32" t="s">
        <v>1383</v>
      </c>
    </row>
    <row r="58" spans="1:7" ht="15.75" thickBot="1" x14ac:dyDescent="0.3">
      <c r="A58" s="108">
        <v>9</v>
      </c>
      <c r="B58" s="108">
        <v>2</v>
      </c>
      <c r="C58" s="25"/>
      <c r="D58" s="28" t="s">
        <v>330</v>
      </c>
      <c r="E58" s="28" t="s">
        <v>1384</v>
      </c>
      <c r="F58" s="29">
        <f>F56-F57</f>
        <v>0</v>
      </c>
      <c r="G58" s="30" t="s">
        <v>1385</v>
      </c>
    </row>
    <row r="59" spans="1:7" ht="15.75" thickBot="1" x14ac:dyDescent="0.3">
      <c r="A59" s="108">
        <v>9</v>
      </c>
      <c r="B59" s="108">
        <v>2</v>
      </c>
      <c r="E59" s="45" t="s">
        <v>1386</v>
      </c>
      <c r="F59" s="46">
        <f>IFERROR(F57/F56,0)</f>
        <v>0</v>
      </c>
      <c r="G59" s="37" t="s">
        <v>378</v>
      </c>
    </row>
    <row r="60" spans="1:7" ht="15.75" thickBot="1" x14ac:dyDescent="0.3">
      <c r="A60" s="108">
        <v>9</v>
      </c>
      <c r="B60" s="108">
        <v>2</v>
      </c>
      <c r="E60" s="47" t="s">
        <v>1387</v>
      </c>
      <c r="F60" s="44">
        <f>F59</f>
        <v>0</v>
      </c>
      <c r="G60" s="37"/>
    </row>
    <row r="62" spans="1:7" s="1" customFormat="1" ht="45" customHeight="1" x14ac:dyDescent="0.25">
      <c r="A62" s="108">
        <v>9</v>
      </c>
      <c r="B62" s="108">
        <v>2</v>
      </c>
      <c r="C62" s="51"/>
      <c r="D62" s="112"/>
      <c r="E62" s="152" t="s">
        <v>2080</v>
      </c>
      <c r="F62" s="147" t="s">
        <v>2053</v>
      </c>
      <c r="G62" s="159"/>
    </row>
    <row r="63" spans="1:7" s="1" customFormat="1" x14ac:dyDescent="0.25">
      <c r="A63" s="64"/>
      <c r="B63" s="64"/>
      <c r="C63" s="112"/>
      <c r="D63" s="112"/>
      <c r="E63" s="112"/>
      <c r="F63" s="56"/>
      <c r="G63" s="150"/>
    </row>
    <row r="64" spans="1:7" x14ac:dyDescent="0.25">
      <c r="A64" s="108">
        <v>9</v>
      </c>
      <c r="B64" s="108">
        <v>2</v>
      </c>
      <c r="C64" s="146">
        <v>10.07</v>
      </c>
      <c r="D64" s="215" t="s">
        <v>248</v>
      </c>
      <c r="E64" s="215"/>
      <c r="F64" s="27" t="s">
        <v>320</v>
      </c>
      <c r="G64" s="146" t="s">
        <v>321</v>
      </c>
    </row>
    <row r="65" spans="1:7" ht="30" x14ac:dyDescent="0.25">
      <c r="A65" s="108">
        <v>9</v>
      </c>
      <c r="B65" s="108">
        <v>2</v>
      </c>
      <c r="C65" s="25"/>
      <c r="D65" s="28" t="s">
        <v>322</v>
      </c>
      <c r="E65" s="28" t="s">
        <v>1388</v>
      </c>
      <c r="F65" s="31"/>
      <c r="G65" s="32" t="s">
        <v>1389</v>
      </c>
    </row>
    <row r="66" spans="1:7" x14ac:dyDescent="0.25">
      <c r="A66" s="108">
        <v>9</v>
      </c>
      <c r="B66" s="108">
        <v>2</v>
      </c>
      <c r="C66" s="25"/>
      <c r="D66" s="28" t="s">
        <v>327</v>
      </c>
      <c r="E66" s="28" t="s">
        <v>1390</v>
      </c>
      <c r="F66" s="31"/>
      <c r="G66" s="32" t="s">
        <v>1391</v>
      </c>
    </row>
    <row r="67" spans="1:7" x14ac:dyDescent="0.25">
      <c r="A67" s="108">
        <v>9</v>
      </c>
      <c r="B67" s="108">
        <v>2</v>
      </c>
      <c r="C67" s="25"/>
      <c r="D67" s="28" t="s">
        <v>330</v>
      </c>
      <c r="E67" s="28" t="s">
        <v>1392</v>
      </c>
      <c r="F67" s="29">
        <f>F65-F66</f>
        <v>0</v>
      </c>
      <c r="G67" s="30" t="s">
        <v>1393</v>
      </c>
    </row>
    <row r="68" spans="1:7" ht="30" x14ac:dyDescent="0.25">
      <c r="A68" s="108">
        <v>9</v>
      </c>
      <c r="B68" s="108">
        <v>2</v>
      </c>
      <c r="C68" s="25"/>
      <c r="D68" s="28" t="s">
        <v>332</v>
      </c>
      <c r="E68" s="28" t="s">
        <v>1394</v>
      </c>
      <c r="F68" s="31"/>
      <c r="G68" s="32" t="s">
        <v>1395</v>
      </c>
    </row>
    <row r="69" spans="1:7" ht="30.75" thickBot="1" x14ac:dyDescent="0.3">
      <c r="A69" s="108">
        <v>9</v>
      </c>
      <c r="B69" s="108">
        <v>2</v>
      </c>
      <c r="C69" s="25"/>
      <c r="D69" s="28" t="s">
        <v>335</v>
      </c>
      <c r="E69" s="28" t="s">
        <v>1396</v>
      </c>
      <c r="F69" s="29">
        <f>F65-F68</f>
        <v>0</v>
      </c>
      <c r="G69" s="30" t="s">
        <v>1397</v>
      </c>
    </row>
    <row r="70" spans="1:7" ht="30.75" thickBot="1" x14ac:dyDescent="0.3">
      <c r="A70" s="108">
        <v>9</v>
      </c>
      <c r="B70" s="108">
        <v>2</v>
      </c>
      <c r="E70" s="45" t="s">
        <v>1398</v>
      </c>
      <c r="F70" s="46">
        <f>IFERROR(F68/F65,0)</f>
        <v>0</v>
      </c>
      <c r="G70" s="37" t="s">
        <v>434</v>
      </c>
    </row>
    <row r="71" spans="1:7" ht="15.75" thickBot="1" x14ac:dyDescent="0.3">
      <c r="A71" s="108">
        <v>9</v>
      </c>
      <c r="B71" s="108">
        <v>2</v>
      </c>
      <c r="E71" s="47" t="s">
        <v>1399</v>
      </c>
      <c r="F71" s="44">
        <f>F70</f>
        <v>0</v>
      </c>
      <c r="G71" s="37"/>
    </row>
    <row r="73" spans="1:7" s="1" customFormat="1" ht="45" customHeight="1" x14ac:dyDescent="0.25">
      <c r="A73" s="108">
        <v>9</v>
      </c>
      <c r="B73" s="108">
        <v>2</v>
      </c>
      <c r="C73" s="51"/>
      <c r="D73" s="112"/>
      <c r="E73" s="152" t="s">
        <v>2080</v>
      </c>
      <c r="F73" s="147" t="s">
        <v>2053</v>
      </c>
      <c r="G73" s="159"/>
    </row>
    <row r="74" spans="1:7" s="1" customFormat="1" x14ac:dyDescent="0.25">
      <c r="A74" s="64"/>
      <c r="B74" s="64"/>
      <c r="C74" s="112"/>
      <c r="D74" s="112"/>
      <c r="E74" s="112"/>
      <c r="F74" s="56"/>
      <c r="G74" s="150"/>
    </row>
  </sheetData>
  <sheetProtection algorithmName="SHA-512" hashValue="7WIcpWgCBHcEabTSo1grqKzONXbMKmjwS9radrfn9X4gmFJDobuMcM7raiFqHI1YsIA06yd8JklXPx2KGOrFnw==" saltValue="TCnwlvbaH5y6CVY3d4pIBA==" spinCount="100000" sheet="1" formatRows="0" selectLockedCells="1"/>
  <mergeCells count="8">
    <mergeCell ref="D46:E46"/>
    <mergeCell ref="D55:E55"/>
    <mergeCell ref="D64:E64"/>
    <mergeCell ref="C2:E2"/>
    <mergeCell ref="D4:E4"/>
    <mergeCell ref="D16:E16"/>
    <mergeCell ref="D25:E25"/>
    <mergeCell ref="D37:E37"/>
  </mergeCells>
  <conditionalFormatting sqref="E1:E26 E31:E1048576">
    <cfRule type="containsText" dxfId="28" priority="4" operator="containsText" text="Safeguard Scoring Complete">
      <formula>NOT(ISERROR(SEARCH("Safeguard Scoring Complete",E1)))</formula>
    </cfRule>
    <cfRule type="containsText" dxfId="27" priority="12" operator="containsText" text="Safeguard Scoring Incomplete">
      <formula>NOT(ISERROR(SEARCH("Safeguard Scoring Incomplete",E1)))</formula>
    </cfRule>
  </conditionalFormatting>
  <conditionalFormatting sqref="E27:E30">
    <cfRule type="containsText" dxfId="26" priority="1" operator="containsText" text="Safeguard Scoring Complete">
      <formula>NOT(ISERROR(SEARCH("Safeguard Scoring Complete",E27)))</formula>
    </cfRule>
    <cfRule type="containsText" dxfId="25" priority="2" operator="containsText" text="Safeguard Scoring Incomplete">
      <formula>NOT(ISERROR(SEARCH("Safeguard Scoring Incomplete",E27)))</formula>
    </cfRule>
  </conditionalFormatting>
  <dataValidations count="2">
    <dataValidation type="list" allowBlank="1" showInputMessage="1" showErrorMessage="1" sqref="F2" xr:uid="{78E2E56D-4E59-4B7E-85A0-E0D4155D2F61}">
      <formula1>"Assessed,Not Assessed"</formula1>
    </dataValidation>
    <dataValidation type="list" allowBlank="1" showInputMessage="1" showErrorMessage="1" sqref="E14 E23 E35 E44 E53 E62 E73" xr:uid="{F8AD45D0-8874-4C12-A2F0-4A3E1625FBCD}">
      <formula1>"Safeguard Scoring Complete,Safeguard Scoring Incomplete"</formula1>
    </dataValidation>
  </dataValidations>
  <hyperlinks>
    <hyperlink ref="G2" r:id="rId1" xr:uid="{8095C7F3-A836-4427-9AAD-D208D0E10AA0}"/>
  </hyperlinks>
  <pageMargins left="0.7" right="0.7" top="0.75" bottom="0.75" header="0.3" footer="0.3"/>
  <pageSetup orientation="portrait" horizontalDpi="0" verticalDpi="0" r:id="rId2"/>
  <extLst>
    <ext xmlns:x14="http://schemas.microsoft.com/office/spreadsheetml/2009/9/main" uri="{78C0D931-6437-407d-A8EE-F0AAD7539E65}">
      <x14:conditionalFormattings>
        <x14:conditionalFormatting xmlns:xm="http://schemas.microsoft.com/office/excel/2006/main">
          <x14:cfRule type="expression" priority="3" id="{BF0446E8-1FFB-475C-8718-82D73E712E21}">
            <xm:f>AND($A1&lt;&gt;GlobalSettings!$C$2,$B1&gt;GlobalSettings!$C$2)</xm:f>
            <x14:dxf>
              <font>
                <color theme="0" tint="-0.24994659260841701"/>
              </font>
              <fill>
                <patternFill>
                  <bgColor theme="0" tint="-0.499984740745262"/>
                </patternFill>
              </fill>
            </x14:dxf>
          </x14:cfRule>
          <xm:sqref>C1:G25 C26:F26 C27:C30 C31:G1048576</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DAEB2-4F6C-411D-944D-6E6CFFB2D739}">
  <sheetPr codeName="Sheet14"/>
  <dimension ref="A2:G57"/>
  <sheetViews>
    <sheetView showGridLines="0" topLeftCell="A14" workbookViewId="0">
      <selection activeCell="F41" sqref="F41"/>
    </sheetView>
  </sheetViews>
  <sheetFormatPr defaultColWidth="9.140625" defaultRowHeight="15" x14ac:dyDescent="0.25"/>
  <cols>
    <col min="1" max="2" width="2.7109375" style="108" customWidth="1"/>
    <col min="3" max="3" width="7.14062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1400</v>
      </c>
      <c r="D2" s="214"/>
      <c r="E2" s="214"/>
      <c r="F2" s="100" t="s">
        <v>318</v>
      </c>
      <c r="G2" s="208" t="s">
        <v>2195</v>
      </c>
    </row>
    <row r="4" spans="1:7" x14ac:dyDescent="0.25">
      <c r="A4" s="108">
        <v>0</v>
      </c>
      <c r="B4" s="108">
        <v>1</v>
      </c>
      <c r="C4" s="146">
        <v>11.01</v>
      </c>
      <c r="D4" s="215" t="s">
        <v>1401</v>
      </c>
      <c r="E4" s="215"/>
      <c r="F4" s="27" t="s">
        <v>320</v>
      </c>
      <c r="G4" s="146" t="s">
        <v>321</v>
      </c>
    </row>
    <row r="5" spans="1:7" x14ac:dyDescent="0.25">
      <c r="A5" s="108">
        <v>0</v>
      </c>
      <c r="B5" s="108">
        <v>1</v>
      </c>
      <c r="C5" s="25"/>
      <c r="D5" s="28" t="s">
        <v>322</v>
      </c>
      <c r="E5" s="28" t="s">
        <v>1402</v>
      </c>
      <c r="F5" s="29">
        <f>IF(Artifacts!E47="Artifact Provided",1,0)</f>
        <v>0</v>
      </c>
      <c r="G5" s="30" t="s">
        <v>402</v>
      </c>
    </row>
    <row r="6" spans="1:7" x14ac:dyDescent="0.25">
      <c r="A6" s="108">
        <v>0</v>
      </c>
      <c r="B6" s="108">
        <v>1</v>
      </c>
      <c r="C6" s="25"/>
      <c r="D6" s="28" t="s">
        <v>327</v>
      </c>
      <c r="E6" s="28" t="s">
        <v>1403</v>
      </c>
      <c r="F6" s="124">
        <f>SUM(F7:F9)</f>
        <v>0</v>
      </c>
      <c r="G6" s="30"/>
    </row>
    <row r="7" spans="1:7" ht="30" x14ac:dyDescent="0.25">
      <c r="A7" s="108">
        <v>0</v>
      </c>
      <c r="B7" s="108">
        <v>1</v>
      </c>
      <c r="C7" s="25"/>
      <c r="D7" s="28" t="s">
        <v>400</v>
      </c>
      <c r="E7" s="28" t="s">
        <v>1404</v>
      </c>
      <c r="F7" s="31"/>
      <c r="G7" s="32" t="s">
        <v>978</v>
      </c>
    </row>
    <row r="8" spans="1:7" ht="30" x14ac:dyDescent="0.25">
      <c r="A8" s="108">
        <v>0</v>
      </c>
      <c r="B8" s="108">
        <v>1</v>
      </c>
      <c r="C8" s="25"/>
      <c r="D8" s="28" t="s">
        <v>403</v>
      </c>
      <c r="E8" s="28" t="s">
        <v>1405</v>
      </c>
      <c r="F8" s="31"/>
      <c r="G8" s="32" t="s">
        <v>978</v>
      </c>
    </row>
    <row r="9" spans="1:7" ht="30" x14ac:dyDescent="0.25">
      <c r="A9" s="108">
        <v>0</v>
      </c>
      <c r="B9" s="108">
        <v>1</v>
      </c>
      <c r="C9" s="25"/>
      <c r="D9" s="28" t="s">
        <v>405</v>
      </c>
      <c r="E9" s="28" t="s">
        <v>1406</v>
      </c>
      <c r="F9" s="31"/>
      <c r="G9" s="32" t="s">
        <v>978</v>
      </c>
    </row>
    <row r="10" spans="1:7" ht="15.75" thickBot="1" x14ac:dyDescent="0.3">
      <c r="A10" s="108">
        <v>0</v>
      </c>
      <c r="B10" s="108">
        <v>1</v>
      </c>
      <c r="C10" s="25"/>
      <c r="D10" s="28" t="s">
        <v>330</v>
      </c>
      <c r="E10" s="28" t="s">
        <v>1407</v>
      </c>
      <c r="F10" s="29">
        <f>DATEDIF(Artifacts!$F$47,GlobalSettings!$C$4,"m")</f>
        <v>1508</v>
      </c>
      <c r="G10" s="30"/>
    </row>
    <row r="11" spans="1:7" ht="15.75" thickBot="1" x14ac:dyDescent="0.3">
      <c r="A11" s="108">
        <v>0</v>
      </c>
      <c r="B11" s="108">
        <v>1</v>
      </c>
      <c r="E11" s="45" t="s">
        <v>1408</v>
      </c>
      <c r="F11" s="46">
        <f>F6/3</f>
        <v>0</v>
      </c>
      <c r="G11" s="37" t="s">
        <v>1106</v>
      </c>
    </row>
    <row r="12" spans="1:7" ht="15.75" thickBot="1" x14ac:dyDescent="0.3">
      <c r="A12" s="108">
        <v>0</v>
      </c>
      <c r="B12" s="108">
        <v>1</v>
      </c>
      <c r="E12" s="47" t="s">
        <v>1409</v>
      </c>
      <c r="F12" s="44">
        <f>IF(F5=0,0,IF(F10&lt;=GlobalSettings!$C$8,F11,IF(GlobalSettings!$C$10="No",0,F11*(GlobalSettings!$C$6-0.01))))</f>
        <v>0</v>
      </c>
      <c r="G12" s="37" t="s">
        <v>1410</v>
      </c>
    </row>
    <row r="14" spans="1:7" s="1" customFormat="1" ht="45" customHeight="1" x14ac:dyDescent="0.25">
      <c r="A14" s="108">
        <v>0</v>
      </c>
      <c r="B14" s="108">
        <v>1</v>
      </c>
      <c r="C14" s="51"/>
      <c r="D14" s="112"/>
      <c r="E14" s="152" t="s">
        <v>2080</v>
      </c>
      <c r="F14" s="147" t="s">
        <v>2053</v>
      </c>
      <c r="G14" s="159"/>
    </row>
    <row r="15" spans="1:7" s="1" customFormat="1" x14ac:dyDescent="0.25">
      <c r="A15" s="64"/>
      <c r="B15" s="64"/>
      <c r="C15" s="112"/>
      <c r="D15" s="112"/>
      <c r="E15" s="112"/>
      <c r="F15" s="56"/>
      <c r="G15" s="150"/>
    </row>
    <row r="16" spans="1:7" x14ac:dyDescent="0.25">
      <c r="A16" s="108">
        <v>0</v>
      </c>
      <c r="B16" s="108">
        <v>1</v>
      </c>
      <c r="C16" s="146">
        <v>11.02</v>
      </c>
      <c r="D16" s="215" t="s">
        <v>1411</v>
      </c>
      <c r="E16" s="215"/>
      <c r="F16" s="27" t="s">
        <v>320</v>
      </c>
      <c r="G16" s="146" t="s">
        <v>321</v>
      </c>
    </row>
    <row r="17" spans="1:7" x14ac:dyDescent="0.25">
      <c r="A17" s="108">
        <v>0</v>
      </c>
      <c r="B17" s="108">
        <v>1</v>
      </c>
      <c r="C17" s="25"/>
      <c r="D17" s="109" t="s">
        <v>322</v>
      </c>
      <c r="E17" s="110" t="s">
        <v>2076</v>
      </c>
      <c r="F17" s="123">
        <v>0</v>
      </c>
      <c r="G17" s="32" t="s">
        <v>2078</v>
      </c>
    </row>
    <row r="18" spans="1:7" x14ac:dyDescent="0.25">
      <c r="A18" s="108">
        <v>0</v>
      </c>
      <c r="B18" s="108">
        <v>1</v>
      </c>
      <c r="C18" s="25"/>
      <c r="D18" s="28" t="s">
        <v>327</v>
      </c>
      <c r="E18" s="110" t="s">
        <v>2077</v>
      </c>
      <c r="F18" s="31">
        <v>0</v>
      </c>
      <c r="G18" s="32" t="s">
        <v>2079</v>
      </c>
    </row>
    <row r="19" spans="1:7" x14ac:dyDescent="0.25">
      <c r="A19" s="108">
        <v>0</v>
      </c>
      <c r="B19" s="108">
        <v>1</v>
      </c>
      <c r="C19" s="25"/>
      <c r="D19" s="28" t="s">
        <v>330</v>
      </c>
      <c r="E19" s="28" t="s">
        <v>1412</v>
      </c>
      <c r="F19" s="124">
        <f>IFERROR(F17-F18,0)</f>
        <v>0</v>
      </c>
      <c r="G19" s="30" t="s">
        <v>1413</v>
      </c>
    </row>
    <row r="20" spans="1:7" x14ac:dyDescent="0.25">
      <c r="A20" s="108">
        <v>0</v>
      </c>
      <c r="B20" s="108">
        <v>1</v>
      </c>
      <c r="C20" s="25"/>
      <c r="D20" s="28" t="s">
        <v>332</v>
      </c>
      <c r="E20" s="28" t="s">
        <v>1414</v>
      </c>
      <c r="F20" s="31">
        <v>0</v>
      </c>
      <c r="G20" s="32" t="s">
        <v>1415</v>
      </c>
    </row>
    <row r="21" spans="1:7" x14ac:dyDescent="0.25">
      <c r="A21" s="108">
        <v>0</v>
      </c>
      <c r="B21" s="108">
        <v>1</v>
      </c>
      <c r="C21" s="25"/>
      <c r="D21" s="28" t="s">
        <v>335</v>
      </c>
      <c r="E21" s="28" t="s">
        <v>1416</v>
      </c>
      <c r="F21" s="124">
        <f>IFERROR(F17-F20,0)</f>
        <v>0</v>
      </c>
      <c r="G21" s="30" t="s">
        <v>1417</v>
      </c>
    </row>
    <row r="22" spans="1:7" x14ac:dyDescent="0.25">
      <c r="A22" s="108">
        <v>0</v>
      </c>
      <c r="B22" s="108">
        <v>1</v>
      </c>
      <c r="C22" s="25"/>
      <c r="D22" s="28" t="s">
        <v>338</v>
      </c>
      <c r="E22" s="28" t="s">
        <v>1418</v>
      </c>
      <c r="F22" s="31">
        <v>0</v>
      </c>
      <c r="G22" s="32" t="s">
        <v>1419</v>
      </c>
    </row>
    <row r="23" spans="1:7" ht="15.75" thickBot="1" x14ac:dyDescent="0.3">
      <c r="A23" s="108">
        <v>0</v>
      </c>
      <c r="B23" s="108">
        <v>1</v>
      </c>
      <c r="C23" s="25"/>
      <c r="D23" s="28" t="s">
        <v>341</v>
      </c>
      <c r="E23" s="28" t="s">
        <v>1420</v>
      </c>
      <c r="F23" s="31">
        <v>0</v>
      </c>
      <c r="G23" s="32" t="s">
        <v>1421</v>
      </c>
    </row>
    <row r="24" spans="1:7" ht="15.75" thickBot="1" x14ac:dyDescent="0.3">
      <c r="A24" s="108">
        <v>0</v>
      </c>
      <c r="B24" s="108">
        <v>1</v>
      </c>
      <c r="E24" s="45" t="s">
        <v>1422</v>
      </c>
      <c r="F24" s="46">
        <f>IFERROR(F20/F17,0)</f>
        <v>0</v>
      </c>
      <c r="G24" s="37" t="s">
        <v>434</v>
      </c>
    </row>
    <row r="25" spans="1:7" ht="15.75" thickBot="1" x14ac:dyDescent="0.3">
      <c r="A25" s="108">
        <v>0</v>
      </c>
      <c r="B25" s="108">
        <v>1</v>
      </c>
      <c r="E25" s="45" t="s">
        <v>1423</v>
      </c>
      <c r="F25" s="46">
        <f>IFERROR(F22/F17,0)</f>
        <v>0</v>
      </c>
      <c r="G25" s="37" t="s">
        <v>889</v>
      </c>
    </row>
    <row r="26" spans="1:7" ht="15.75" thickBot="1" x14ac:dyDescent="0.3">
      <c r="A26" s="108">
        <v>0</v>
      </c>
      <c r="B26" s="108">
        <v>1</v>
      </c>
      <c r="E26" s="47" t="s">
        <v>1424</v>
      </c>
      <c r="F26" s="44">
        <f>AVERAGE(F24:F25)</f>
        <v>0</v>
      </c>
      <c r="G26" s="37"/>
    </row>
    <row r="28" spans="1:7" s="1" customFormat="1" ht="45" customHeight="1" x14ac:dyDescent="0.25">
      <c r="A28" s="108">
        <v>0</v>
      </c>
      <c r="B28" s="108">
        <v>1</v>
      </c>
      <c r="C28" s="51"/>
      <c r="D28" s="112"/>
      <c r="E28" s="152" t="s">
        <v>2080</v>
      </c>
      <c r="F28" s="147" t="s">
        <v>2053</v>
      </c>
      <c r="G28" s="159"/>
    </row>
    <row r="29" spans="1:7" s="1" customFormat="1" x14ac:dyDescent="0.25">
      <c r="A29" s="64"/>
      <c r="B29" s="64"/>
      <c r="C29" s="112"/>
      <c r="D29" s="112"/>
      <c r="E29" s="112"/>
      <c r="F29" s="56"/>
      <c r="G29" s="150"/>
    </row>
    <row r="30" spans="1:7" x14ac:dyDescent="0.25">
      <c r="A30" s="108">
        <v>0</v>
      </c>
      <c r="B30" s="108">
        <v>1</v>
      </c>
      <c r="C30" s="146">
        <v>11.03</v>
      </c>
      <c r="D30" s="215" t="s">
        <v>251</v>
      </c>
      <c r="E30" s="215"/>
      <c r="F30" s="27" t="s">
        <v>320</v>
      </c>
      <c r="G30" s="146" t="s">
        <v>321</v>
      </c>
    </row>
    <row r="31" spans="1:7" x14ac:dyDescent="0.25">
      <c r="A31" s="108">
        <v>0</v>
      </c>
      <c r="B31" s="108">
        <v>1</v>
      </c>
      <c r="C31" s="25"/>
      <c r="D31" s="28" t="s">
        <v>322</v>
      </c>
      <c r="E31" s="28" t="s">
        <v>1425</v>
      </c>
      <c r="F31" s="29">
        <f>F17</f>
        <v>0</v>
      </c>
      <c r="G31" s="30" t="s">
        <v>1426</v>
      </c>
    </row>
    <row r="32" spans="1:7" x14ac:dyDescent="0.25">
      <c r="A32" s="108">
        <v>0</v>
      </c>
      <c r="B32" s="108">
        <v>1</v>
      </c>
      <c r="C32" s="25"/>
      <c r="D32" s="28" t="s">
        <v>327</v>
      </c>
      <c r="E32" s="28" t="s">
        <v>1427</v>
      </c>
      <c r="F32" s="31">
        <v>0</v>
      </c>
      <c r="G32" s="32" t="s">
        <v>1428</v>
      </c>
    </row>
    <row r="33" spans="1:7" ht="15.75" thickBot="1" x14ac:dyDescent="0.3">
      <c r="A33" s="108">
        <v>0</v>
      </c>
      <c r="B33" s="108">
        <v>1</v>
      </c>
      <c r="C33" s="25"/>
      <c r="D33" s="28" t="s">
        <v>330</v>
      </c>
      <c r="E33" s="28" t="s">
        <v>1429</v>
      </c>
      <c r="F33" s="29">
        <f>F31-F32</f>
        <v>0</v>
      </c>
      <c r="G33" s="30" t="s">
        <v>1430</v>
      </c>
    </row>
    <row r="34" spans="1:7" ht="15.75" thickBot="1" x14ac:dyDescent="0.3">
      <c r="A34" s="108">
        <v>0</v>
      </c>
      <c r="B34" s="108">
        <v>1</v>
      </c>
      <c r="E34" s="45" t="s">
        <v>1431</v>
      </c>
      <c r="F34" s="46">
        <f>IFERROR(F32/F31,0)</f>
        <v>0</v>
      </c>
      <c r="G34" s="37" t="s">
        <v>378</v>
      </c>
    </row>
    <row r="35" spans="1:7" ht="15.75" thickBot="1" x14ac:dyDescent="0.3">
      <c r="A35" s="108">
        <v>0</v>
      </c>
      <c r="B35" s="108">
        <v>1</v>
      </c>
      <c r="E35" s="47" t="s">
        <v>1432</v>
      </c>
      <c r="F35" s="44">
        <f>F34</f>
        <v>0</v>
      </c>
      <c r="G35" s="37"/>
    </row>
    <row r="37" spans="1:7" s="1" customFormat="1" ht="45" customHeight="1" x14ac:dyDescent="0.25">
      <c r="A37" s="108">
        <v>0</v>
      </c>
      <c r="B37" s="108">
        <v>1</v>
      </c>
      <c r="C37" s="51"/>
      <c r="D37" s="112"/>
      <c r="E37" s="152" t="s">
        <v>2080</v>
      </c>
      <c r="F37" s="147" t="s">
        <v>2053</v>
      </c>
      <c r="G37" s="159"/>
    </row>
    <row r="38" spans="1:7" s="1" customFormat="1" x14ac:dyDescent="0.25">
      <c r="A38" s="64"/>
      <c r="B38" s="64"/>
      <c r="C38" s="112"/>
      <c r="D38" s="112"/>
      <c r="E38" s="112"/>
      <c r="F38" s="56"/>
      <c r="G38" s="150"/>
    </row>
    <row r="39" spans="1:7" x14ac:dyDescent="0.25">
      <c r="A39" s="108">
        <v>0</v>
      </c>
      <c r="B39" s="108">
        <v>1</v>
      </c>
      <c r="C39" s="146">
        <v>11.04</v>
      </c>
      <c r="D39" s="215" t="s">
        <v>1433</v>
      </c>
      <c r="E39" s="215"/>
      <c r="F39" s="27" t="s">
        <v>320</v>
      </c>
      <c r="G39" s="146" t="s">
        <v>321</v>
      </c>
    </row>
    <row r="40" spans="1:7" x14ac:dyDescent="0.25">
      <c r="A40" s="108">
        <v>0</v>
      </c>
      <c r="B40" s="108">
        <v>1</v>
      </c>
      <c r="C40" s="25"/>
      <c r="D40" s="28" t="s">
        <v>322</v>
      </c>
      <c r="E40" s="28" t="s">
        <v>1434</v>
      </c>
      <c r="F40" s="29">
        <f>F17</f>
        <v>0</v>
      </c>
      <c r="G40" s="30" t="s">
        <v>1435</v>
      </c>
    </row>
    <row r="41" spans="1:7" x14ac:dyDescent="0.25">
      <c r="A41" s="108">
        <v>0</v>
      </c>
      <c r="B41" s="108">
        <v>1</v>
      </c>
      <c r="C41" s="25"/>
      <c r="D41" s="28" t="s">
        <v>327</v>
      </c>
      <c r="E41" s="28" t="s">
        <v>1436</v>
      </c>
      <c r="F41" s="31">
        <v>0</v>
      </c>
      <c r="G41" s="32" t="s">
        <v>1437</v>
      </c>
    </row>
    <row r="42" spans="1:7" ht="15.75" thickBot="1" x14ac:dyDescent="0.3">
      <c r="A42" s="108">
        <v>0</v>
      </c>
      <c r="B42" s="108">
        <v>1</v>
      </c>
      <c r="C42" s="25"/>
      <c r="D42" s="28" t="s">
        <v>330</v>
      </c>
      <c r="E42" s="28" t="s">
        <v>1438</v>
      </c>
      <c r="F42" s="29">
        <f>F40-F41</f>
        <v>0</v>
      </c>
      <c r="G42" s="30" t="s">
        <v>1439</v>
      </c>
    </row>
    <row r="43" spans="1:7" ht="15.75" thickBot="1" x14ac:dyDescent="0.3">
      <c r="A43" s="108">
        <v>0</v>
      </c>
      <c r="B43" s="108">
        <v>1</v>
      </c>
      <c r="E43" s="45" t="s">
        <v>1440</v>
      </c>
      <c r="F43" s="46">
        <f>IFERROR(F41/F40,0)</f>
        <v>0</v>
      </c>
      <c r="G43" s="37" t="s">
        <v>378</v>
      </c>
    </row>
    <row r="44" spans="1:7" ht="15.75" thickBot="1" x14ac:dyDescent="0.3">
      <c r="A44" s="108">
        <v>0</v>
      </c>
      <c r="B44" s="108">
        <v>1</v>
      </c>
      <c r="E44" s="47" t="s">
        <v>1441</v>
      </c>
      <c r="F44" s="44">
        <f>F43</f>
        <v>0</v>
      </c>
      <c r="G44" s="37"/>
    </row>
    <row r="45" spans="1:7" x14ac:dyDescent="0.25">
      <c r="A45" s="108">
        <v>0</v>
      </c>
    </row>
    <row r="46" spans="1:7" s="1" customFormat="1" ht="45" customHeight="1" x14ac:dyDescent="0.25">
      <c r="A46" s="108">
        <v>0</v>
      </c>
      <c r="B46" s="108">
        <v>1</v>
      </c>
      <c r="C46" s="51"/>
      <c r="D46" s="112"/>
      <c r="E46" s="152" t="s">
        <v>2080</v>
      </c>
      <c r="F46" s="147" t="s">
        <v>2053</v>
      </c>
      <c r="G46" s="159"/>
    </row>
    <row r="47" spans="1:7" s="1" customFormat="1" x14ac:dyDescent="0.25">
      <c r="A47" s="64"/>
      <c r="B47" s="64"/>
      <c r="C47" s="112"/>
      <c r="D47" s="112"/>
      <c r="E47" s="112"/>
      <c r="F47" s="56"/>
      <c r="G47" s="150"/>
    </row>
    <row r="48" spans="1:7" x14ac:dyDescent="0.25">
      <c r="A48" s="108">
        <v>9</v>
      </c>
      <c r="B48" s="108">
        <v>2</v>
      </c>
      <c r="C48" s="146">
        <v>11.05</v>
      </c>
      <c r="D48" s="215" t="s">
        <v>253</v>
      </c>
      <c r="E48" s="215"/>
      <c r="F48" s="27" t="s">
        <v>320</v>
      </c>
      <c r="G48" s="146" t="s">
        <v>321</v>
      </c>
    </row>
    <row r="49" spans="1:7" x14ac:dyDescent="0.25">
      <c r="A49" s="108">
        <v>9</v>
      </c>
      <c r="B49" s="108">
        <v>2</v>
      </c>
      <c r="C49" s="25"/>
      <c r="D49" s="28" t="s">
        <v>322</v>
      </c>
      <c r="E49" s="28" t="s">
        <v>1442</v>
      </c>
      <c r="F49" s="31"/>
      <c r="G49" s="32" t="s">
        <v>1443</v>
      </c>
    </row>
    <row r="50" spans="1:7" x14ac:dyDescent="0.25">
      <c r="A50" s="108">
        <v>9</v>
      </c>
      <c r="B50" s="108">
        <v>2</v>
      </c>
      <c r="C50" s="25"/>
      <c r="D50" s="28" t="s">
        <v>327</v>
      </c>
      <c r="E50" s="28" t="s">
        <v>1444</v>
      </c>
      <c r="F50" s="31"/>
      <c r="G50" s="32" t="s">
        <v>1445</v>
      </c>
    </row>
    <row r="51" spans="1:7" x14ac:dyDescent="0.2">
      <c r="A51" s="108">
        <v>9</v>
      </c>
      <c r="B51" s="108">
        <v>2</v>
      </c>
      <c r="C51" s="25"/>
      <c r="D51" s="28" t="s">
        <v>330</v>
      </c>
      <c r="E51" s="28" t="s">
        <v>1446</v>
      </c>
      <c r="F51" s="31"/>
      <c r="G51" s="162" t="s">
        <v>1447</v>
      </c>
    </row>
    <row r="52" spans="1:7" ht="15.75" thickBot="1" x14ac:dyDescent="0.3">
      <c r="A52" s="108">
        <v>9</v>
      </c>
      <c r="B52" s="108">
        <v>2</v>
      </c>
      <c r="C52" s="25"/>
      <c r="D52" s="28" t="s">
        <v>332</v>
      </c>
      <c r="E52" s="28" t="s">
        <v>1448</v>
      </c>
      <c r="F52" s="31"/>
      <c r="G52" s="32" t="s">
        <v>1449</v>
      </c>
    </row>
    <row r="53" spans="1:7" ht="15.75" thickBot="1" x14ac:dyDescent="0.3">
      <c r="A53" s="108">
        <v>9</v>
      </c>
      <c r="B53" s="108">
        <v>2</v>
      </c>
      <c r="E53" s="45" t="s">
        <v>1450</v>
      </c>
      <c r="F53" s="46">
        <f>IF(F52&lt;3,0,)</f>
        <v>0</v>
      </c>
      <c r="G53" s="37" t="s">
        <v>378</v>
      </c>
    </row>
    <row r="54" spans="1:7" ht="15.75" thickBot="1" x14ac:dyDescent="0.3">
      <c r="A54" s="108">
        <v>9</v>
      </c>
      <c r="B54" s="108">
        <v>2</v>
      </c>
      <c r="E54" s="47" t="s">
        <v>1451</v>
      </c>
      <c r="F54" s="44">
        <f>F53</f>
        <v>0</v>
      </c>
      <c r="G54" s="37"/>
    </row>
    <row r="56" spans="1:7" s="1" customFormat="1" ht="45" customHeight="1" x14ac:dyDescent="0.25">
      <c r="A56" s="108">
        <v>9</v>
      </c>
      <c r="B56" s="108">
        <v>2</v>
      </c>
      <c r="C56" s="51"/>
      <c r="D56" s="112"/>
      <c r="E56" s="152" t="s">
        <v>2080</v>
      </c>
      <c r="F56" s="147" t="s">
        <v>2053</v>
      </c>
      <c r="G56" s="159"/>
    </row>
    <row r="57" spans="1:7" s="1" customFormat="1" x14ac:dyDescent="0.25">
      <c r="A57" s="64"/>
      <c r="B57" s="64"/>
      <c r="C57" s="112"/>
      <c r="D57" s="112"/>
      <c r="E57" s="112"/>
      <c r="F57" s="56"/>
      <c r="G57" s="150"/>
    </row>
  </sheetData>
  <sheetProtection algorithmName="SHA-512" hashValue="CCPGIqxKwcupvs13/xrvswvlKVHecaQ/3QCHR+nZVaqM2tap5sccRGctO+hw7GFkznBqnVMVbciaXViK64oLkg==" saltValue="9xb0jzsIOp5AzOVQJM5eSA==" spinCount="100000" sheet="1" formatRows="0" selectLockedCells="1"/>
  <mergeCells count="6">
    <mergeCell ref="D48:E48"/>
    <mergeCell ref="C2:E2"/>
    <mergeCell ref="D4:E4"/>
    <mergeCell ref="D16:E16"/>
    <mergeCell ref="D30:E30"/>
    <mergeCell ref="D39:E39"/>
  </mergeCells>
  <conditionalFormatting sqref="E1:E1048576">
    <cfRule type="containsText" dxfId="23" priority="2" operator="containsText" text="Safeguard Scoring Complete">
      <formula>NOT(ISERROR(SEARCH("Safeguard Scoring Complete",E1)))</formula>
    </cfRule>
    <cfRule type="containsText" dxfId="22" priority="8" operator="containsText" text="Safeguard Scoring Incomplete">
      <formula>NOT(ISERROR(SEARCH("Safeguard Scoring Incomplete",E1)))</formula>
    </cfRule>
  </conditionalFormatting>
  <dataValidations count="3">
    <dataValidation type="list" allowBlank="1" showInputMessage="1" showErrorMessage="1" sqref="F2" xr:uid="{00C1A2A1-0141-4579-96E6-4694D6EDDAD7}">
      <formula1>"Assessed,Not Assessed"</formula1>
    </dataValidation>
    <dataValidation type="list" allowBlank="1" showInputMessage="1" showErrorMessage="1" sqref="F7:F9" xr:uid="{C9353B88-7575-4BFA-B8CC-08B75C34216B}">
      <formula1>"0,1"</formula1>
    </dataValidation>
    <dataValidation type="list" allowBlank="1" showInputMessage="1" showErrorMessage="1" sqref="E14 E28 E37 E46 E56" xr:uid="{87A98772-6328-4167-8589-E9C4DB9252F5}">
      <formula1>"Safeguard Scoring Complete,Safeguard Scoring Incomplete"</formula1>
    </dataValidation>
  </dataValidations>
  <hyperlinks>
    <hyperlink ref="G2" r:id="rId1" xr:uid="{C29526C3-7966-482D-B5DE-584622A0E47A}"/>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6F8A5223-EB14-48F1-BDF8-D56D678523C8}">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0A130-BF57-4B59-92D2-904AE97EE879}">
  <sheetPr codeName="Sheet15"/>
  <dimension ref="A2:G109"/>
  <sheetViews>
    <sheetView showGridLines="0" zoomScaleNormal="100" workbookViewId="0">
      <selection activeCell="F2" sqref="F2"/>
    </sheetView>
  </sheetViews>
  <sheetFormatPr defaultColWidth="9.140625" defaultRowHeight="15.75" customHeight="1" x14ac:dyDescent="0.25"/>
  <cols>
    <col min="1" max="2" width="2.7109375" style="66" customWidth="1"/>
    <col min="3" max="3" width="7.14062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customHeight="1" x14ac:dyDescent="0.25">
      <c r="C2" s="214" t="s">
        <v>1452</v>
      </c>
      <c r="D2" s="214"/>
      <c r="E2" s="214"/>
      <c r="F2" s="100" t="s">
        <v>26</v>
      </c>
      <c r="G2" s="208" t="s">
        <v>2196</v>
      </c>
    </row>
    <row r="4" spans="1:7" ht="15.75" customHeight="1" x14ac:dyDescent="0.25">
      <c r="A4" s="66">
        <v>9</v>
      </c>
      <c r="B4" s="66">
        <v>1</v>
      </c>
      <c r="C4" s="146">
        <v>12.01</v>
      </c>
      <c r="D4" s="215" t="s">
        <v>254</v>
      </c>
      <c r="E4" s="215"/>
      <c r="F4" s="27" t="s">
        <v>320</v>
      </c>
      <c r="G4" s="146" t="s">
        <v>321</v>
      </c>
    </row>
    <row r="5" spans="1:7" ht="15.75" customHeight="1" x14ac:dyDescent="0.25">
      <c r="A5" s="66">
        <v>9</v>
      </c>
      <c r="B5" s="66">
        <v>1</v>
      </c>
      <c r="C5" s="25"/>
      <c r="D5" s="28" t="s">
        <v>322</v>
      </c>
      <c r="E5" s="28" t="s">
        <v>1453</v>
      </c>
      <c r="F5" s="31"/>
      <c r="G5" s="32" t="s">
        <v>1454</v>
      </c>
    </row>
    <row r="6" spans="1:7" ht="15.75" customHeight="1" x14ac:dyDescent="0.25">
      <c r="A6" s="66">
        <v>9</v>
      </c>
      <c r="B6" s="66">
        <v>1</v>
      </c>
      <c r="C6" s="25"/>
      <c r="D6" s="28" t="s">
        <v>327</v>
      </c>
      <c r="E6" s="28" t="s">
        <v>1455</v>
      </c>
      <c r="F6" s="31"/>
      <c r="G6" s="32" t="s">
        <v>1456</v>
      </c>
    </row>
    <row r="7" spans="1:7" ht="15.75" customHeight="1" x14ac:dyDescent="0.25">
      <c r="A7" s="66">
        <v>9</v>
      </c>
      <c r="B7" s="66">
        <v>1</v>
      </c>
      <c r="C7" s="25"/>
      <c r="D7" s="28" t="s">
        <v>330</v>
      </c>
      <c r="E7" s="28" t="s">
        <v>1457</v>
      </c>
      <c r="F7" s="29">
        <f>F5-F6</f>
        <v>0</v>
      </c>
      <c r="G7" s="30" t="s">
        <v>1458</v>
      </c>
    </row>
    <row r="8" spans="1:7" ht="15.75" customHeight="1" thickBot="1" x14ac:dyDescent="0.3">
      <c r="A8" s="66">
        <v>9</v>
      </c>
      <c r="B8" s="66">
        <v>1</v>
      </c>
      <c r="C8" s="25"/>
      <c r="D8" s="28" t="s">
        <v>332</v>
      </c>
      <c r="E8" s="28" t="s">
        <v>1459</v>
      </c>
      <c r="F8" s="124">
        <f>DATEDIF(Artifacts!$F$3,GlobalSettings!$C$4,"m")</f>
        <v>1508</v>
      </c>
      <c r="G8" s="132" t="s">
        <v>1460</v>
      </c>
    </row>
    <row r="9" spans="1:7" ht="15.75" customHeight="1" thickBot="1" x14ac:dyDescent="0.3">
      <c r="A9" s="66">
        <v>9</v>
      </c>
      <c r="B9" s="66">
        <v>1</v>
      </c>
      <c r="E9" s="45" t="s">
        <v>1461</v>
      </c>
      <c r="F9" s="46">
        <f>IFERROR(IF(F8&lt;=30,F6/F5,0),0)</f>
        <v>0</v>
      </c>
      <c r="G9" s="37" t="s">
        <v>378</v>
      </c>
    </row>
    <row r="10" spans="1:7" ht="15.75" customHeight="1" thickBot="1" x14ac:dyDescent="0.3">
      <c r="A10" s="66">
        <v>9</v>
      </c>
      <c r="B10" s="66">
        <v>1</v>
      </c>
      <c r="E10" s="47" t="s">
        <v>1462</v>
      </c>
      <c r="F10" s="44">
        <f>F9</f>
        <v>0</v>
      </c>
      <c r="G10" s="37"/>
    </row>
    <row r="12" spans="1:7" s="1" customFormat="1" ht="45" customHeight="1" x14ac:dyDescent="0.25">
      <c r="A12" s="66">
        <v>9</v>
      </c>
      <c r="B12" s="66">
        <v>1</v>
      </c>
      <c r="C12" s="112"/>
      <c r="D12" s="112"/>
      <c r="E12" s="152" t="s">
        <v>2080</v>
      </c>
      <c r="F12" s="147" t="s">
        <v>2053</v>
      </c>
      <c r="G12" s="159"/>
    </row>
    <row r="13" spans="1:7" s="1" customFormat="1" ht="15" x14ac:dyDescent="0.25">
      <c r="A13" s="64"/>
      <c r="B13" s="64"/>
      <c r="C13" s="112"/>
      <c r="D13" s="112"/>
      <c r="E13" s="112"/>
      <c r="F13" s="56"/>
      <c r="G13" s="150"/>
    </row>
    <row r="14" spans="1:7" ht="15.75" customHeight="1" x14ac:dyDescent="0.25">
      <c r="A14" s="66">
        <v>9</v>
      </c>
      <c r="B14" s="66">
        <v>2</v>
      </c>
      <c r="C14" s="146">
        <v>12.02</v>
      </c>
      <c r="D14" s="215" t="s">
        <v>255</v>
      </c>
      <c r="E14" s="215"/>
      <c r="F14" s="27" t="s">
        <v>320</v>
      </c>
      <c r="G14" s="146" t="s">
        <v>321</v>
      </c>
    </row>
    <row r="15" spans="1:7" ht="15.75" customHeight="1" x14ac:dyDescent="0.25">
      <c r="A15" s="66">
        <v>9</v>
      </c>
      <c r="B15" s="66">
        <v>2</v>
      </c>
      <c r="C15" s="25"/>
      <c r="D15" s="28" t="s">
        <v>322</v>
      </c>
      <c r="E15" s="28" t="s">
        <v>1463</v>
      </c>
      <c r="F15" s="31"/>
      <c r="G15" s="32" t="s">
        <v>1464</v>
      </c>
    </row>
    <row r="16" spans="1:7" ht="15.75" customHeight="1" x14ac:dyDescent="0.25">
      <c r="A16" s="66">
        <v>9</v>
      </c>
      <c r="B16" s="66">
        <v>2</v>
      </c>
      <c r="C16" s="25"/>
      <c r="D16" s="28" t="s">
        <v>327</v>
      </c>
      <c r="E16" s="28" t="s">
        <v>1465</v>
      </c>
      <c r="F16" s="124">
        <f>F15-F17</f>
        <v>0</v>
      </c>
      <c r="G16" s="30" t="s">
        <v>1466</v>
      </c>
    </row>
    <row r="17" spans="1:7" ht="15.75" customHeight="1" x14ac:dyDescent="0.25">
      <c r="A17" s="66">
        <v>9</v>
      </c>
      <c r="B17" s="66">
        <v>2</v>
      </c>
      <c r="C17" s="25"/>
      <c r="D17" s="28" t="s">
        <v>330</v>
      </c>
      <c r="E17" s="28" t="s">
        <v>1467</v>
      </c>
      <c r="F17" s="31"/>
      <c r="G17" s="32" t="s">
        <v>1468</v>
      </c>
    </row>
    <row r="18" spans="1:7" ht="15.75" customHeight="1" x14ac:dyDescent="0.25">
      <c r="A18" s="66">
        <v>9</v>
      </c>
      <c r="B18" s="66">
        <v>2</v>
      </c>
      <c r="C18" s="25"/>
      <c r="D18" s="28" t="s">
        <v>332</v>
      </c>
      <c r="E18" s="28" t="s">
        <v>1469</v>
      </c>
      <c r="F18" s="31"/>
      <c r="G18" s="32" t="s">
        <v>1470</v>
      </c>
    </row>
    <row r="19" spans="1:7" ht="15.75" customHeight="1" thickBot="1" x14ac:dyDescent="0.3">
      <c r="A19" s="66">
        <v>9</v>
      </c>
      <c r="B19" s="66">
        <v>2</v>
      </c>
      <c r="C19" s="25"/>
      <c r="D19" s="28" t="s">
        <v>335</v>
      </c>
      <c r="E19" s="28" t="s">
        <v>1471</v>
      </c>
      <c r="F19" s="29">
        <f>F15-F18</f>
        <v>0</v>
      </c>
      <c r="G19" s="30" t="s">
        <v>1472</v>
      </c>
    </row>
    <row r="20" spans="1:7" ht="15.6" customHeight="1" thickBot="1" x14ac:dyDescent="0.3">
      <c r="A20" s="66">
        <v>9</v>
      </c>
      <c r="B20" s="66">
        <v>2</v>
      </c>
      <c r="E20" s="45" t="s">
        <v>1473</v>
      </c>
      <c r="F20" s="46">
        <f>IF(F15&lt;=1,0,1)</f>
        <v>0</v>
      </c>
      <c r="G20" s="37" t="s">
        <v>1474</v>
      </c>
    </row>
    <row r="21" spans="1:7" ht="15.6" customHeight="1" thickBot="1" x14ac:dyDescent="0.3">
      <c r="A21" s="66">
        <v>9</v>
      </c>
      <c r="B21" s="66">
        <v>2</v>
      </c>
      <c r="E21" s="45" t="s">
        <v>1475</v>
      </c>
      <c r="F21" s="46">
        <f>IFERROR(F17/F15,0)</f>
        <v>0</v>
      </c>
      <c r="G21" s="37" t="s">
        <v>1476</v>
      </c>
    </row>
    <row r="22" spans="1:7" ht="15.75" customHeight="1" thickBot="1" x14ac:dyDescent="0.3">
      <c r="A22" s="66">
        <v>9</v>
      </c>
      <c r="B22" s="66">
        <v>2</v>
      </c>
      <c r="E22" s="45" t="s">
        <v>1477</v>
      </c>
      <c r="F22" s="46">
        <f>IFERROR(F18/F15,0)</f>
        <v>0</v>
      </c>
      <c r="G22" s="37" t="s">
        <v>1478</v>
      </c>
    </row>
    <row r="23" spans="1:7" ht="15.75" customHeight="1" thickBot="1" x14ac:dyDescent="0.3">
      <c r="A23" s="66">
        <v>9</v>
      </c>
      <c r="B23" s="66">
        <v>2</v>
      </c>
      <c r="E23" s="47" t="s">
        <v>1479</v>
      </c>
      <c r="F23" s="44">
        <f>AVERAGE(F20:F22)</f>
        <v>0</v>
      </c>
      <c r="G23" s="37"/>
    </row>
    <row r="25" spans="1:7" s="1" customFormat="1" ht="45" customHeight="1" x14ac:dyDescent="0.25">
      <c r="A25" s="66">
        <v>9</v>
      </c>
      <c r="B25" s="66">
        <v>2</v>
      </c>
      <c r="C25" s="112"/>
      <c r="D25" s="112"/>
      <c r="E25" s="152" t="s">
        <v>2080</v>
      </c>
      <c r="F25" s="147" t="s">
        <v>2053</v>
      </c>
      <c r="G25" s="159"/>
    </row>
    <row r="26" spans="1:7" s="1" customFormat="1" ht="15" x14ac:dyDescent="0.25">
      <c r="A26" s="64"/>
      <c r="B26" s="64"/>
      <c r="C26" s="112"/>
      <c r="D26" s="112"/>
      <c r="E26" s="112"/>
      <c r="F26" s="56"/>
      <c r="G26" s="150"/>
    </row>
    <row r="27" spans="1:7" ht="15.75" customHeight="1" x14ac:dyDescent="0.25">
      <c r="A27" s="66">
        <v>9</v>
      </c>
      <c r="B27" s="66">
        <v>2</v>
      </c>
      <c r="C27" s="146">
        <v>12.03</v>
      </c>
      <c r="D27" s="215" t="s">
        <v>256</v>
      </c>
      <c r="E27" s="215"/>
      <c r="F27" s="27" t="s">
        <v>320</v>
      </c>
      <c r="G27" s="146" t="s">
        <v>321</v>
      </c>
    </row>
    <row r="28" spans="1:7" ht="15.75" customHeight="1" x14ac:dyDescent="0.25">
      <c r="A28" s="66">
        <v>9</v>
      </c>
      <c r="B28" s="66">
        <v>2</v>
      </c>
      <c r="C28" s="25"/>
      <c r="D28" s="28" t="s">
        <v>322</v>
      </c>
      <c r="E28" s="28" t="s">
        <v>1480</v>
      </c>
      <c r="F28" s="29">
        <f>F5</f>
        <v>0</v>
      </c>
      <c r="G28" s="30" t="s">
        <v>1481</v>
      </c>
    </row>
    <row r="29" spans="1:7" ht="15.75" customHeight="1" x14ac:dyDescent="0.25">
      <c r="A29" s="66">
        <v>9</v>
      </c>
      <c r="B29" s="66">
        <v>2</v>
      </c>
      <c r="C29" s="25"/>
      <c r="D29" s="28" t="s">
        <v>327</v>
      </c>
      <c r="E29" s="28" t="s">
        <v>1482</v>
      </c>
      <c r="F29" s="31"/>
      <c r="G29" s="32" t="s">
        <v>1483</v>
      </c>
    </row>
    <row r="30" spans="1:7" ht="15.75" customHeight="1" x14ac:dyDescent="0.25">
      <c r="A30" s="66">
        <v>9</v>
      </c>
      <c r="B30" s="66">
        <v>2</v>
      </c>
      <c r="C30" s="25"/>
      <c r="D30" s="28" t="s">
        <v>330</v>
      </c>
      <c r="E30" s="28" t="s">
        <v>1484</v>
      </c>
      <c r="F30" s="29">
        <f>F28-F29</f>
        <v>0</v>
      </c>
      <c r="G30" s="30" t="s">
        <v>1485</v>
      </c>
    </row>
    <row r="31" spans="1:7" ht="15.75" customHeight="1" x14ac:dyDescent="0.25">
      <c r="A31" s="66">
        <v>9</v>
      </c>
      <c r="B31" s="66">
        <v>2</v>
      </c>
      <c r="C31" s="25"/>
      <c r="D31" s="28" t="s">
        <v>332</v>
      </c>
      <c r="E31" s="28" t="s">
        <v>1486</v>
      </c>
      <c r="F31" s="29">
        <f>F15</f>
        <v>0</v>
      </c>
      <c r="G31" s="30" t="s">
        <v>1487</v>
      </c>
    </row>
    <row r="32" spans="1:7" ht="15.75" customHeight="1" x14ac:dyDescent="0.25">
      <c r="A32" s="66">
        <v>9</v>
      </c>
      <c r="B32" s="66">
        <v>2</v>
      </c>
      <c r="C32" s="25"/>
      <c r="D32" s="28" t="s">
        <v>335</v>
      </c>
      <c r="E32" s="28" t="s">
        <v>1488</v>
      </c>
      <c r="F32" s="31"/>
      <c r="G32" s="32" t="s">
        <v>1489</v>
      </c>
    </row>
    <row r="33" spans="1:7" ht="15.75" customHeight="1" x14ac:dyDescent="0.25">
      <c r="A33" s="66">
        <v>9</v>
      </c>
      <c r="B33" s="66">
        <v>2</v>
      </c>
      <c r="C33" s="25"/>
      <c r="D33" s="28" t="s">
        <v>338</v>
      </c>
      <c r="E33" s="28" t="s">
        <v>1490</v>
      </c>
      <c r="F33" s="29">
        <f>F31-F32</f>
        <v>0</v>
      </c>
      <c r="G33" s="30" t="s">
        <v>1491</v>
      </c>
    </row>
    <row r="34" spans="1:7" ht="15.75" customHeight="1" x14ac:dyDescent="0.25">
      <c r="A34" s="66">
        <v>9</v>
      </c>
      <c r="B34" s="66">
        <v>2</v>
      </c>
      <c r="C34" s="25"/>
      <c r="D34" s="28" t="s">
        <v>341</v>
      </c>
      <c r="E34" s="28" t="s">
        <v>1492</v>
      </c>
      <c r="F34" s="31"/>
      <c r="G34" s="32" t="s">
        <v>1493</v>
      </c>
    </row>
    <row r="35" spans="1:7" ht="15.75" customHeight="1" thickBot="1" x14ac:dyDescent="0.3">
      <c r="A35" s="66">
        <v>9</v>
      </c>
      <c r="B35" s="66">
        <v>2</v>
      </c>
      <c r="C35" s="25"/>
      <c r="D35" s="28" t="s">
        <v>344</v>
      </c>
      <c r="E35" s="28" t="s">
        <v>1494</v>
      </c>
      <c r="F35" s="29">
        <f>F31-F34</f>
        <v>0</v>
      </c>
      <c r="G35" s="30" t="s">
        <v>1495</v>
      </c>
    </row>
    <row r="36" spans="1:7" ht="15.75" customHeight="1" thickBot="1" x14ac:dyDescent="0.3">
      <c r="A36" s="66">
        <v>9</v>
      </c>
      <c r="B36" s="66">
        <v>2</v>
      </c>
      <c r="E36" s="45" t="s">
        <v>1496</v>
      </c>
      <c r="F36" s="46">
        <f>IFERROR(F29/F28,0)</f>
        <v>0</v>
      </c>
      <c r="G36" s="37" t="s">
        <v>378</v>
      </c>
    </row>
    <row r="37" spans="1:7" ht="15.75" customHeight="1" thickBot="1" x14ac:dyDescent="0.3">
      <c r="A37" s="66">
        <v>9</v>
      </c>
      <c r="B37" s="66">
        <v>2</v>
      </c>
      <c r="E37" s="45" t="s">
        <v>1497</v>
      </c>
      <c r="F37" s="46">
        <f>IFERROR(F34/F31,0)</f>
        <v>0</v>
      </c>
      <c r="G37" s="37" t="s">
        <v>1498</v>
      </c>
    </row>
    <row r="38" spans="1:7" ht="15.75" customHeight="1" thickBot="1" x14ac:dyDescent="0.3">
      <c r="A38" s="66">
        <v>9</v>
      </c>
      <c r="B38" s="66">
        <v>2</v>
      </c>
      <c r="E38" s="47" t="s">
        <v>1499</v>
      </c>
      <c r="F38" s="44">
        <f>AVERAGE(F36:F37)</f>
        <v>0</v>
      </c>
      <c r="G38" s="37"/>
    </row>
    <row r="40" spans="1:7" s="1" customFormat="1" ht="45" customHeight="1" x14ac:dyDescent="0.25">
      <c r="A40" s="66">
        <v>9</v>
      </c>
      <c r="B40" s="66">
        <v>2</v>
      </c>
      <c r="C40" s="112"/>
      <c r="D40" s="112"/>
      <c r="E40" s="152" t="s">
        <v>2080</v>
      </c>
      <c r="F40" s="147" t="s">
        <v>2053</v>
      </c>
      <c r="G40" s="159"/>
    </row>
    <row r="41" spans="1:7" s="1" customFormat="1" ht="15" x14ac:dyDescent="0.25">
      <c r="A41" s="64"/>
      <c r="B41" s="64"/>
      <c r="C41" s="112"/>
      <c r="D41" s="112"/>
      <c r="E41" s="112"/>
      <c r="F41" s="56"/>
      <c r="G41" s="150"/>
    </row>
    <row r="42" spans="1:7" ht="15.75" customHeight="1" x14ac:dyDescent="0.25">
      <c r="A42" s="66">
        <v>9</v>
      </c>
      <c r="B42" s="66">
        <v>2</v>
      </c>
      <c r="C42" s="146">
        <v>12.04</v>
      </c>
      <c r="D42" s="215" t="s">
        <v>257</v>
      </c>
      <c r="E42" s="215"/>
      <c r="F42" s="27" t="s">
        <v>320</v>
      </c>
      <c r="G42" s="146" t="s">
        <v>321</v>
      </c>
    </row>
    <row r="43" spans="1:7" ht="15.75" customHeight="1" x14ac:dyDescent="0.25">
      <c r="A43" s="66">
        <v>9</v>
      </c>
      <c r="B43" s="66">
        <v>2</v>
      </c>
      <c r="C43" s="25"/>
      <c r="D43" s="28" t="s">
        <v>322</v>
      </c>
      <c r="E43" s="28" t="s">
        <v>2071</v>
      </c>
      <c r="F43" s="29">
        <f>IF(Artifacts!E12="Artifact Provided", 1,0)</f>
        <v>0</v>
      </c>
      <c r="G43" s="30" t="s">
        <v>978</v>
      </c>
    </row>
    <row r="44" spans="1:7" ht="15.75" customHeight="1" thickBot="1" x14ac:dyDescent="0.3">
      <c r="A44" s="66">
        <v>9</v>
      </c>
      <c r="B44" s="66">
        <v>2</v>
      </c>
      <c r="C44" s="25"/>
      <c r="D44" s="28" t="s">
        <v>327</v>
      </c>
      <c r="E44" s="28" t="s">
        <v>1500</v>
      </c>
      <c r="F44" s="29">
        <f>DATEDIF(Artifacts!$F$12,GlobalSettings!$C$4,"m")</f>
        <v>1508</v>
      </c>
      <c r="G44" s="30"/>
    </row>
    <row r="45" spans="1:7" ht="15.75" customHeight="1" thickBot="1" x14ac:dyDescent="0.3">
      <c r="A45" s="66">
        <v>9</v>
      </c>
      <c r="B45" s="66">
        <v>2</v>
      </c>
      <c r="E45" s="47" t="s">
        <v>1502</v>
      </c>
      <c r="F45" s="44">
        <f>IF(F43=0,0,IF(F44&lt;=12,1,IF(GlobalSettings!$C$12="No",0,0.5)))</f>
        <v>0</v>
      </c>
      <c r="G45" s="37" t="s">
        <v>2072</v>
      </c>
    </row>
    <row r="47" spans="1:7" s="1" customFormat="1" ht="45" customHeight="1" x14ac:dyDescent="0.25">
      <c r="A47" s="66">
        <v>9</v>
      </c>
      <c r="B47" s="66">
        <v>2</v>
      </c>
      <c r="C47" s="51"/>
      <c r="D47" s="112"/>
      <c r="E47" s="152" t="s">
        <v>2080</v>
      </c>
      <c r="F47" s="147" t="s">
        <v>2053</v>
      </c>
      <c r="G47" s="159"/>
    </row>
    <row r="48" spans="1:7" s="1" customFormat="1" ht="15" x14ac:dyDescent="0.25">
      <c r="A48" s="64"/>
      <c r="B48" s="64"/>
      <c r="C48" s="112"/>
      <c r="D48" s="112"/>
      <c r="E48" s="112"/>
      <c r="F48" s="56"/>
      <c r="G48" s="150"/>
    </row>
    <row r="49" spans="1:7" ht="15.75" customHeight="1" x14ac:dyDescent="0.25">
      <c r="A49" s="66">
        <v>9</v>
      </c>
      <c r="B49" s="66">
        <v>2</v>
      </c>
      <c r="C49" s="146">
        <v>12.05</v>
      </c>
      <c r="D49" s="215" t="s">
        <v>1503</v>
      </c>
      <c r="E49" s="215"/>
      <c r="F49" s="27" t="s">
        <v>320</v>
      </c>
      <c r="G49" s="146" t="s">
        <v>321</v>
      </c>
    </row>
    <row r="50" spans="1:7" ht="15.75" customHeight="1" x14ac:dyDescent="0.25">
      <c r="A50" s="66">
        <v>9</v>
      </c>
      <c r="B50" s="66">
        <v>2</v>
      </c>
      <c r="C50" s="25"/>
      <c r="D50" s="28" t="s">
        <v>322</v>
      </c>
      <c r="E50" s="28" t="s">
        <v>1504</v>
      </c>
      <c r="F50" s="31"/>
      <c r="G50" s="32" t="s">
        <v>1505</v>
      </c>
    </row>
    <row r="51" spans="1:7" ht="15.75" customHeight="1" x14ac:dyDescent="0.25">
      <c r="A51" s="66">
        <v>9</v>
      </c>
      <c r="B51" s="66">
        <v>2</v>
      </c>
      <c r="C51" s="25"/>
      <c r="D51" s="28" t="s">
        <v>327</v>
      </c>
      <c r="E51" s="28" t="s">
        <v>1506</v>
      </c>
      <c r="F51" s="31"/>
      <c r="G51" s="32" t="s">
        <v>1507</v>
      </c>
    </row>
    <row r="52" spans="1:7" ht="15.75" customHeight="1" x14ac:dyDescent="0.25">
      <c r="A52" s="66">
        <v>9</v>
      </c>
      <c r="B52" s="66">
        <v>2</v>
      </c>
      <c r="C52" s="25"/>
      <c r="D52" s="28" t="s">
        <v>330</v>
      </c>
      <c r="E52" s="28" t="s">
        <v>1508</v>
      </c>
      <c r="F52" s="29">
        <f>F50-F51</f>
        <v>0</v>
      </c>
      <c r="G52" s="30" t="s">
        <v>1509</v>
      </c>
    </row>
    <row r="53" spans="1:7" ht="15.75" customHeight="1" x14ac:dyDescent="0.25">
      <c r="A53" s="66">
        <v>9</v>
      </c>
      <c r="B53" s="66">
        <v>2</v>
      </c>
      <c r="C53" s="25"/>
      <c r="D53" s="28" t="s">
        <v>332</v>
      </c>
      <c r="E53" s="28" t="s">
        <v>1510</v>
      </c>
      <c r="F53" s="31"/>
      <c r="G53" s="32" t="s">
        <v>1511</v>
      </c>
    </row>
    <row r="54" spans="1:7" ht="15.75" customHeight="1" x14ac:dyDescent="0.25">
      <c r="A54" s="66">
        <v>9</v>
      </c>
      <c r="B54" s="66">
        <v>2</v>
      </c>
      <c r="C54" s="25"/>
      <c r="D54" s="28" t="s">
        <v>335</v>
      </c>
      <c r="E54" s="28" t="s">
        <v>1512</v>
      </c>
      <c r="F54" s="29">
        <f>F55-F53</f>
        <v>0</v>
      </c>
      <c r="G54" s="30" t="s">
        <v>1513</v>
      </c>
    </row>
    <row r="55" spans="1:7" ht="15.75" customHeight="1" thickBot="1" x14ac:dyDescent="0.3">
      <c r="A55" s="66">
        <v>9</v>
      </c>
      <c r="B55" s="66">
        <v>2</v>
      </c>
      <c r="C55" s="25"/>
      <c r="D55" s="28" t="s">
        <v>338</v>
      </c>
      <c r="E55" s="28" t="s">
        <v>1514</v>
      </c>
      <c r="F55" s="31"/>
      <c r="G55" s="32" t="s">
        <v>76</v>
      </c>
    </row>
    <row r="56" spans="1:7" ht="15.75" customHeight="1" thickBot="1" x14ac:dyDescent="0.3">
      <c r="A56" s="66">
        <v>9</v>
      </c>
      <c r="B56" s="66">
        <v>2</v>
      </c>
      <c r="E56" s="45" t="s">
        <v>1515</v>
      </c>
      <c r="F56" s="46">
        <f>IFERROR(F52/F50,0)</f>
        <v>0</v>
      </c>
      <c r="G56" s="37" t="s">
        <v>436</v>
      </c>
    </row>
    <row r="57" spans="1:7" ht="15.75" customHeight="1" thickBot="1" x14ac:dyDescent="0.3">
      <c r="A57" s="66">
        <v>9</v>
      </c>
      <c r="B57" s="66">
        <v>2</v>
      </c>
      <c r="E57" s="45" t="s">
        <v>1516</v>
      </c>
      <c r="F57" s="46">
        <f>IFERROR(F53/F55,0)</f>
        <v>0</v>
      </c>
      <c r="G57" s="37" t="s">
        <v>565</v>
      </c>
    </row>
    <row r="58" spans="1:7" ht="15.75" customHeight="1" thickBot="1" x14ac:dyDescent="0.3">
      <c r="A58" s="66">
        <v>9</v>
      </c>
      <c r="B58" s="66">
        <v>2</v>
      </c>
      <c r="E58" s="47" t="s">
        <v>1517</v>
      </c>
      <c r="F58" s="44">
        <f>AVERAGE(F56:F57)</f>
        <v>0</v>
      </c>
      <c r="G58" s="37"/>
    </row>
    <row r="60" spans="1:7" s="1" customFormat="1" ht="45" customHeight="1" x14ac:dyDescent="0.25">
      <c r="A60" s="66">
        <v>9</v>
      </c>
      <c r="B60" s="66">
        <v>2</v>
      </c>
      <c r="C60" s="51"/>
      <c r="D60" s="112"/>
      <c r="E60" s="152" t="s">
        <v>2080</v>
      </c>
      <c r="F60" s="147" t="s">
        <v>2053</v>
      </c>
      <c r="G60" s="159"/>
    </row>
    <row r="61" spans="1:7" s="1" customFormat="1" ht="15" x14ac:dyDescent="0.25">
      <c r="A61" s="64"/>
      <c r="B61" s="64"/>
      <c r="C61" s="112"/>
      <c r="D61" s="112"/>
      <c r="E61" s="112"/>
      <c r="F61" s="56"/>
      <c r="G61" s="150"/>
    </row>
    <row r="62" spans="1:7" ht="15.75" customHeight="1" x14ac:dyDescent="0.25">
      <c r="A62" s="66">
        <v>9</v>
      </c>
      <c r="B62" s="66">
        <v>2</v>
      </c>
      <c r="C62" s="146">
        <v>12.06</v>
      </c>
      <c r="D62" s="215" t="s">
        <v>1518</v>
      </c>
      <c r="E62" s="215"/>
      <c r="F62" s="27" t="s">
        <v>320</v>
      </c>
      <c r="G62" s="146" t="s">
        <v>321</v>
      </c>
    </row>
    <row r="63" spans="1:7" ht="15.75" customHeight="1" x14ac:dyDescent="0.25">
      <c r="A63" s="66">
        <v>9</v>
      </c>
      <c r="B63" s="66">
        <v>2</v>
      </c>
      <c r="C63" s="25"/>
      <c r="D63" s="28" t="s">
        <v>322</v>
      </c>
      <c r="E63" s="28" t="s">
        <v>1519</v>
      </c>
      <c r="F63" s="31"/>
      <c r="G63" s="32" t="s">
        <v>1520</v>
      </c>
    </row>
    <row r="64" spans="1:7" ht="15.75" customHeight="1" x14ac:dyDescent="0.25">
      <c r="A64" s="66">
        <v>9</v>
      </c>
      <c r="B64" s="66">
        <v>2</v>
      </c>
      <c r="C64" s="25"/>
      <c r="D64" s="28" t="s">
        <v>327</v>
      </c>
      <c r="E64" s="28" t="s">
        <v>1521</v>
      </c>
      <c r="F64" s="31"/>
      <c r="G64" s="32" t="s">
        <v>1522</v>
      </c>
    </row>
    <row r="65" spans="1:7" ht="15.75" customHeight="1" x14ac:dyDescent="0.25">
      <c r="A65" s="66">
        <v>9</v>
      </c>
      <c r="B65" s="66">
        <v>2</v>
      </c>
      <c r="C65" s="25"/>
      <c r="D65" s="28" t="s">
        <v>330</v>
      </c>
      <c r="E65" s="28" t="s">
        <v>1523</v>
      </c>
      <c r="F65" s="29">
        <f>F63-F64</f>
        <v>0</v>
      </c>
      <c r="G65" s="30" t="s">
        <v>1524</v>
      </c>
    </row>
    <row r="66" spans="1:7" ht="15.75" customHeight="1" x14ac:dyDescent="0.25">
      <c r="A66" s="66">
        <v>9</v>
      </c>
      <c r="B66" s="66">
        <v>2</v>
      </c>
      <c r="C66" s="25"/>
      <c r="D66" s="28" t="s">
        <v>332</v>
      </c>
      <c r="E66" s="28" t="s">
        <v>1525</v>
      </c>
      <c r="F66" s="31"/>
      <c r="G66" s="32" t="s">
        <v>1526</v>
      </c>
    </row>
    <row r="67" spans="1:7" ht="15.75" customHeight="1" x14ac:dyDescent="0.25">
      <c r="A67" s="66">
        <v>9</v>
      </c>
      <c r="B67" s="66">
        <v>2</v>
      </c>
      <c r="C67" s="25"/>
      <c r="D67" s="28" t="s">
        <v>335</v>
      </c>
      <c r="E67" s="28" t="s">
        <v>1527</v>
      </c>
      <c r="F67" s="29">
        <f>F63-F66</f>
        <v>0</v>
      </c>
      <c r="G67" s="30" t="s">
        <v>1528</v>
      </c>
    </row>
    <row r="68" spans="1:7" ht="15.75" customHeight="1" x14ac:dyDescent="0.25">
      <c r="A68" s="66">
        <v>9</v>
      </c>
      <c r="B68" s="66">
        <v>2</v>
      </c>
      <c r="C68" s="25"/>
      <c r="D68" s="28" t="s">
        <v>338</v>
      </c>
      <c r="E68" s="28" t="s">
        <v>1529</v>
      </c>
      <c r="F68" s="31"/>
      <c r="G68" s="32" t="s">
        <v>1530</v>
      </c>
    </row>
    <row r="69" spans="1:7" ht="15.75" customHeight="1" x14ac:dyDescent="0.25">
      <c r="A69" s="66">
        <v>9</v>
      </c>
      <c r="B69" s="66">
        <v>2</v>
      </c>
      <c r="C69" s="25"/>
      <c r="D69" s="28" t="s">
        <v>341</v>
      </c>
      <c r="E69" s="28" t="s">
        <v>1529</v>
      </c>
      <c r="F69" s="29">
        <f>F63-F68</f>
        <v>0</v>
      </c>
      <c r="G69" s="30" t="s">
        <v>1531</v>
      </c>
    </row>
    <row r="70" spans="1:7" ht="15.75" customHeight="1" x14ac:dyDescent="0.25">
      <c r="A70" s="66">
        <v>9</v>
      </c>
      <c r="B70" s="66">
        <v>2</v>
      </c>
      <c r="C70" s="25"/>
      <c r="D70" s="28" t="s">
        <v>344</v>
      </c>
      <c r="E70" s="28" t="s">
        <v>1532</v>
      </c>
      <c r="F70" s="31"/>
      <c r="G70" s="32" t="s">
        <v>1533</v>
      </c>
    </row>
    <row r="71" spans="1:7" ht="15.75" customHeight="1" thickBot="1" x14ac:dyDescent="0.3">
      <c r="A71" s="66">
        <v>9</v>
      </c>
      <c r="B71" s="66">
        <v>2</v>
      </c>
      <c r="D71" s="28" t="s">
        <v>522</v>
      </c>
      <c r="E71" s="28" t="s">
        <v>1534</v>
      </c>
      <c r="F71" s="29">
        <f>F63-F70</f>
        <v>0</v>
      </c>
      <c r="G71" s="30" t="s">
        <v>1535</v>
      </c>
    </row>
    <row r="72" spans="1:7" ht="30.75" thickBot="1" x14ac:dyDescent="0.3">
      <c r="A72" s="66">
        <v>9</v>
      </c>
      <c r="B72" s="66">
        <v>2</v>
      </c>
      <c r="E72" s="45" t="s">
        <v>1536</v>
      </c>
      <c r="F72" s="46">
        <f>IFERROR(F66/F63,0)</f>
        <v>0</v>
      </c>
      <c r="G72" s="37" t="s">
        <v>434</v>
      </c>
    </row>
    <row r="73" spans="1:7" ht="30.75" thickBot="1" x14ac:dyDescent="0.3">
      <c r="A73" s="66">
        <v>9</v>
      </c>
      <c r="B73" s="66">
        <v>2</v>
      </c>
      <c r="E73" s="45" t="s">
        <v>1537</v>
      </c>
      <c r="F73" s="46">
        <f>IFERROR(F70/F63,0)</f>
        <v>0</v>
      </c>
      <c r="G73" s="37" t="s">
        <v>1070</v>
      </c>
    </row>
    <row r="74" spans="1:7" ht="15.75" customHeight="1" thickBot="1" x14ac:dyDescent="0.3">
      <c r="A74" s="66">
        <v>9</v>
      </c>
      <c r="B74" s="66">
        <v>2</v>
      </c>
      <c r="E74" s="47" t="s">
        <v>1538</v>
      </c>
      <c r="F74" s="44">
        <f>AVERAGE(F72:F73)</f>
        <v>0</v>
      </c>
      <c r="G74" s="37"/>
    </row>
    <row r="76" spans="1:7" s="1" customFormat="1" ht="45" customHeight="1" x14ac:dyDescent="0.25">
      <c r="A76" s="66">
        <v>9</v>
      </c>
      <c r="B76" s="66">
        <v>2</v>
      </c>
      <c r="C76" s="51"/>
      <c r="D76" s="112"/>
      <c r="E76" s="152" t="s">
        <v>2080</v>
      </c>
      <c r="F76" s="147" t="s">
        <v>2053</v>
      </c>
      <c r="G76" s="159"/>
    </row>
    <row r="77" spans="1:7" s="1" customFormat="1" ht="15" x14ac:dyDescent="0.25">
      <c r="A77" s="64"/>
      <c r="B77" s="64"/>
      <c r="C77" s="112"/>
      <c r="D77" s="112"/>
      <c r="E77" s="112"/>
      <c r="F77" s="56"/>
      <c r="G77" s="150"/>
    </row>
    <row r="78" spans="1:7" ht="15.75" customHeight="1" x14ac:dyDescent="0.25">
      <c r="A78" s="66">
        <v>9</v>
      </c>
      <c r="B78" s="66">
        <v>2</v>
      </c>
      <c r="C78" s="146">
        <v>12.07</v>
      </c>
      <c r="D78" s="215" t="s">
        <v>1539</v>
      </c>
      <c r="E78" s="215"/>
      <c r="F78" s="27" t="s">
        <v>320</v>
      </c>
      <c r="G78" s="146" t="s">
        <v>321</v>
      </c>
    </row>
    <row r="79" spans="1:7" ht="15.75" customHeight="1" x14ac:dyDescent="0.25">
      <c r="A79" s="66">
        <v>9</v>
      </c>
      <c r="B79" s="66">
        <v>2</v>
      </c>
      <c r="C79" s="25"/>
      <c r="D79" s="28" t="s">
        <v>322</v>
      </c>
      <c r="E79" s="28" t="s">
        <v>1540</v>
      </c>
      <c r="F79" s="31"/>
      <c r="G79" s="32" t="s">
        <v>1541</v>
      </c>
    </row>
    <row r="80" spans="1:7" ht="15.75" customHeight="1" x14ac:dyDescent="0.25">
      <c r="A80" s="66">
        <v>9</v>
      </c>
      <c r="B80" s="66">
        <v>2</v>
      </c>
      <c r="C80" s="25"/>
      <c r="D80" s="28" t="s">
        <v>327</v>
      </c>
      <c r="E80" s="28" t="s">
        <v>1542</v>
      </c>
      <c r="F80" s="31"/>
      <c r="G80" s="32" t="s">
        <v>1543</v>
      </c>
    </row>
    <row r="81" spans="1:7" ht="15.75" customHeight="1" x14ac:dyDescent="0.25">
      <c r="A81" s="66">
        <v>9</v>
      </c>
      <c r="B81" s="66">
        <v>2</v>
      </c>
      <c r="C81" s="25"/>
      <c r="D81" s="28" t="s">
        <v>330</v>
      </c>
      <c r="E81" s="28" t="s">
        <v>1544</v>
      </c>
      <c r="F81" s="31"/>
      <c r="G81" s="32" t="s">
        <v>1545</v>
      </c>
    </row>
    <row r="82" spans="1:7" ht="15.75" customHeight="1" x14ac:dyDescent="0.25">
      <c r="A82" s="66">
        <v>9</v>
      </c>
      <c r="B82" s="66">
        <v>2</v>
      </c>
      <c r="C82" s="25"/>
      <c r="D82" s="28" t="s">
        <v>332</v>
      </c>
      <c r="E82" s="28" t="s">
        <v>1546</v>
      </c>
      <c r="F82" s="29">
        <f>F80-F81</f>
        <v>0</v>
      </c>
      <c r="G82" s="30" t="s">
        <v>1547</v>
      </c>
    </row>
    <row r="83" spans="1:7" ht="15.75" customHeight="1" x14ac:dyDescent="0.25">
      <c r="A83" s="66">
        <v>9</v>
      </c>
      <c r="B83" s="66">
        <v>2</v>
      </c>
      <c r="C83" s="25"/>
      <c r="D83" s="28" t="s">
        <v>335</v>
      </c>
      <c r="E83" s="28" t="s">
        <v>1548</v>
      </c>
      <c r="F83" s="31"/>
      <c r="G83" s="32" t="s">
        <v>1549</v>
      </c>
    </row>
    <row r="84" spans="1:7" ht="15.75" customHeight="1" x14ac:dyDescent="0.25">
      <c r="A84" s="66">
        <v>9</v>
      </c>
      <c r="B84" s="66">
        <v>2</v>
      </c>
      <c r="C84" s="25"/>
      <c r="D84" s="28" t="s">
        <v>338</v>
      </c>
      <c r="E84" s="28" t="s">
        <v>1550</v>
      </c>
      <c r="F84" s="29">
        <f>F80-F83</f>
        <v>0</v>
      </c>
      <c r="G84" s="30" t="s">
        <v>1551</v>
      </c>
    </row>
    <row r="85" spans="1:7" ht="15.75" customHeight="1" x14ac:dyDescent="0.25">
      <c r="A85" s="66">
        <v>9</v>
      </c>
      <c r="B85" s="66">
        <v>2</v>
      </c>
      <c r="C85" s="25"/>
      <c r="D85" s="28" t="s">
        <v>341</v>
      </c>
      <c r="E85" s="28" t="s">
        <v>1552</v>
      </c>
      <c r="F85" s="31"/>
      <c r="G85" s="32" t="s">
        <v>1553</v>
      </c>
    </row>
    <row r="86" spans="1:7" ht="15.75" customHeight="1" x14ac:dyDescent="0.25">
      <c r="A86" s="66">
        <v>9</v>
      </c>
      <c r="B86" s="66">
        <v>2</v>
      </c>
      <c r="C86" s="25"/>
      <c r="D86" s="28" t="s">
        <v>344</v>
      </c>
      <c r="E86" s="28" t="s">
        <v>1554</v>
      </c>
      <c r="F86" s="29">
        <f>F90-F85</f>
        <v>0</v>
      </c>
      <c r="G86" s="30" t="s">
        <v>1555</v>
      </c>
    </row>
    <row r="87" spans="1:7" ht="15.75" customHeight="1" x14ac:dyDescent="0.25">
      <c r="A87" s="66">
        <v>9</v>
      </c>
      <c r="B87" s="66">
        <v>2</v>
      </c>
      <c r="D87" s="28" t="s">
        <v>522</v>
      </c>
      <c r="E87" s="28" t="s">
        <v>1556</v>
      </c>
      <c r="F87" s="31"/>
      <c r="G87" s="32" t="s">
        <v>1557</v>
      </c>
    </row>
    <row r="88" spans="1:7" ht="15.75" customHeight="1" x14ac:dyDescent="0.25">
      <c r="A88" s="66">
        <v>9</v>
      </c>
      <c r="B88" s="66">
        <v>2</v>
      </c>
      <c r="D88" s="28" t="s">
        <v>1014</v>
      </c>
      <c r="E88" s="28" t="s">
        <v>1558</v>
      </c>
      <c r="F88" s="29">
        <f>F90-F87</f>
        <v>0</v>
      </c>
      <c r="G88" s="30" t="s">
        <v>1559</v>
      </c>
    </row>
    <row r="89" spans="1:7" ht="15.75" customHeight="1" x14ac:dyDescent="0.25">
      <c r="A89" s="66">
        <v>9</v>
      </c>
      <c r="B89" s="66">
        <v>2</v>
      </c>
      <c r="D89" s="28" t="s">
        <v>1064</v>
      </c>
      <c r="E89" s="28" t="s">
        <v>1560</v>
      </c>
      <c r="F89" s="29">
        <f>SUM(F85+F81)</f>
        <v>0</v>
      </c>
      <c r="G89" s="30" t="s">
        <v>1561</v>
      </c>
    </row>
    <row r="90" spans="1:7" ht="15.75" customHeight="1" thickBot="1" x14ac:dyDescent="0.3">
      <c r="A90" s="66">
        <v>9</v>
      </c>
      <c r="B90" s="66">
        <v>2</v>
      </c>
      <c r="D90" s="28" t="s">
        <v>1562</v>
      </c>
      <c r="E90" s="28" t="s">
        <v>1504</v>
      </c>
      <c r="F90" s="31"/>
      <c r="G90" s="32"/>
    </row>
    <row r="91" spans="1:7" ht="15.75" customHeight="1" thickBot="1" x14ac:dyDescent="0.3">
      <c r="A91" s="66">
        <v>9</v>
      </c>
      <c r="B91" s="66">
        <v>2</v>
      </c>
      <c r="E91" s="45" t="s">
        <v>1563</v>
      </c>
      <c r="F91" s="46">
        <f>IFERROR(F81/F80,0)</f>
        <v>0</v>
      </c>
      <c r="G91" s="37" t="s">
        <v>348</v>
      </c>
    </row>
    <row r="92" spans="1:7" ht="15.75" customHeight="1" thickBot="1" x14ac:dyDescent="0.3">
      <c r="A92" s="66">
        <v>9</v>
      </c>
      <c r="B92" s="66">
        <v>2</v>
      </c>
      <c r="E92" s="45" t="s">
        <v>1564</v>
      </c>
      <c r="F92" s="46">
        <f>IFERROR(F85/F90,0)</f>
        <v>0</v>
      </c>
      <c r="G92" s="37" t="s">
        <v>1565</v>
      </c>
    </row>
    <row r="93" spans="1:7" ht="15.75" customHeight="1" thickBot="1" x14ac:dyDescent="0.3">
      <c r="A93" s="66">
        <v>9</v>
      </c>
      <c r="B93" s="66">
        <v>2</v>
      </c>
      <c r="E93" s="45" t="s">
        <v>1566</v>
      </c>
      <c r="F93" s="46">
        <f>IFERROR(F89/F79,0)</f>
        <v>0</v>
      </c>
      <c r="G93" s="37" t="s">
        <v>1567</v>
      </c>
    </row>
    <row r="94" spans="1:7" ht="15.75" customHeight="1" thickBot="1" x14ac:dyDescent="0.3">
      <c r="A94" s="66">
        <v>9</v>
      </c>
      <c r="B94" s="66">
        <v>2</v>
      </c>
      <c r="E94" s="47" t="s">
        <v>1568</v>
      </c>
      <c r="F94" s="44">
        <f>AVERAGE(F91:F93)</f>
        <v>0</v>
      </c>
      <c r="G94" s="37"/>
    </row>
    <row r="96" spans="1:7" s="1" customFormat="1" ht="45" customHeight="1" x14ac:dyDescent="0.25">
      <c r="A96" s="66">
        <v>9</v>
      </c>
      <c r="B96" s="66">
        <v>2</v>
      </c>
      <c r="C96" s="51"/>
      <c r="D96" s="112"/>
      <c r="E96" s="152" t="s">
        <v>2080</v>
      </c>
      <c r="F96" s="147" t="s">
        <v>2053</v>
      </c>
      <c r="G96" s="159"/>
    </row>
    <row r="97" spans="1:7" s="1" customFormat="1" ht="15" x14ac:dyDescent="0.25">
      <c r="A97" s="64"/>
      <c r="B97" s="64"/>
      <c r="C97" s="112"/>
      <c r="D97" s="112"/>
      <c r="E97" s="112"/>
      <c r="F97" s="56"/>
      <c r="G97" s="150"/>
    </row>
    <row r="98" spans="1:7" ht="15.75" customHeight="1" x14ac:dyDescent="0.25">
      <c r="A98" s="66">
        <v>9</v>
      </c>
      <c r="B98" s="66">
        <v>3</v>
      </c>
      <c r="C98" s="146">
        <v>12.08</v>
      </c>
      <c r="D98" s="215" t="s">
        <v>261</v>
      </c>
      <c r="E98" s="215"/>
      <c r="F98" s="27" t="s">
        <v>320</v>
      </c>
      <c r="G98" s="146" t="s">
        <v>321</v>
      </c>
    </row>
    <row r="99" spans="1:7" ht="15.75" customHeight="1" x14ac:dyDescent="0.25">
      <c r="A99" s="66">
        <v>9</v>
      </c>
      <c r="B99" s="66">
        <v>3</v>
      </c>
      <c r="C99" s="25"/>
      <c r="D99" s="28" t="s">
        <v>322</v>
      </c>
      <c r="E99" s="28" t="s">
        <v>1569</v>
      </c>
      <c r="F99" s="31"/>
      <c r="G99" s="32" t="s">
        <v>1570</v>
      </c>
    </row>
    <row r="100" spans="1:7" ht="15.75" customHeight="1" x14ac:dyDescent="0.25">
      <c r="A100" s="66">
        <v>9</v>
      </c>
      <c r="B100" s="66">
        <v>3</v>
      </c>
      <c r="C100" s="25"/>
      <c r="D100" s="28" t="s">
        <v>327</v>
      </c>
      <c r="E100" s="28" t="s">
        <v>1571</v>
      </c>
      <c r="F100" s="31"/>
      <c r="G100" s="32" t="s">
        <v>1572</v>
      </c>
    </row>
    <row r="101" spans="1:7" ht="15.75" customHeight="1" x14ac:dyDescent="0.25">
      <c r="A101" s="66">
        <v>9</v>
      </c>
      <c r="B101" s="66">
        <v>3</v>
      </c>
      <c r="C101" s="25"/>
      <c r="D101" s="28" t="s">
        <v>330</v>
      </c>
      <c r="E101" s="28" t="s">
        <v>1573</v>
      </c>
      <c r="F101" s="29">
        <f>F99-F100</f>
        <v>0</v>
      </c>
      <c r="G101" s="30" t="s">
        <v>1574</v>
      </c>
    </row>
    <row r="102" spans="1:7" ht="15.75" customHeight="1" x14ac:dyDescent="0.25">
      <c r="A102" s="66">
        <v>9</v>
      </c>
      <c r="B102" s="66">
        <v>3</v>
      </c>
      <c r="C102" s="25"/>
      <c r="D102" s="28" t="s">
        <v>332</v>
      </c>
      <c r="E102" s="28" t="s">
        <v>1575</v>
      </c>
      <c r="F102" s="31"/>
      <c r="G102" s="32" t="s">
        <v>1576</v>
      </c>
    </row>
    <row r="103" spans="1:7" ht="15.75" customHeight="1" x14ac:dyDescent="0.25">
      <c r="A103" s="66">
        <v>9</v>
      </c>
      <c r="B103" s="66">
        <v>3</v>
      </c>
      <c r="C103" s="25"/>
      <c r="D103" s="28" t="s">
        <v>335</v>
      </c>
      <c r="E103" s="28" t="s">
        <v>1577</v>
      </c>
      <c r="F103" s="29">
        <f>F99-F102</f>
        <v>0</v>
      </c>
      <c r="G103" s="30" t="s">
        <v>1578</v>
      </c>
    </row>
    <row r="104" spans="1:7" ht="15.75" customHeight="1" thickBot="1" x14ac:dyDescent="0.3">
      <c r="A104" s="66">
        <v>9</v>
      </c>
      <c r="B104" s="66">
        <v>3</v>
      </c>
      <c r="C104" s="25"/>
      <c r="D104" s="28" t="s">
        <v>338</v>
      </c>
      <c r="E104" s="28" t="s">
        <v>1579</v>
      </c>
      <c r="F104" s="29">
        <f>F100+F102</f>
        <v>0</v>
      </c>
      <c r="G104" s="30" t="s">
        <v>1580</v>
      </c>
    </row>
    <row r="105" spans="1:7" ht="15.75" customHeight="1" thickBot="1" x14ac:dyDescent="0.3">
      <c r="A105" s="66">
        <v>9</v>
      </c>
      <c r="B105" s="66">
        <v>3</v>
      </c>
      <c r="E105" s="45" t="s">
        <v>1581</v>
      </c>
      <c r="F105" s="46">
        <f>IFERROR(F104/F99,0)</f>
        <v>0</v>
      </c>
      <c r="G105" s="37" t="s">
        <v>889</v>
      </c>
    </row>
    <row r="106" spans="1:7" ht="15.75" customHeight="1" thickBot="1" x14ac:dyDescent="0.3">
      <c r="A106" s="66">
        <v>9</v>
      </c>
      <c r="B106" s="66">
        <v>3</v>
      </c>
      <c r="E106" s="47" t="s">
        <v>1582</v>
      </c>
      <c r="F106" s="44">
        <f>F105</f>
        <v>0</v>
      </c>
      <c r="G106" s="37"/>
    </row>
    <row r="108" spans="1:7" s="1" customFormat="1" ht="45" customHeight="1" x14ac:dyDescent="0.25">
      <c r="A108" s="66">
        <v>9</v>
      </c>
      <c r="B108" s="66">
        <v>3</v>
      </c>
      <c r="C108" s="51"/>
      <c r="D108" s="112"/>
      <c r="E108" s="152" t="s">
        <v>2080</v>
      </c>
      <c r="F108" s="147" t="s">
        <v>2053</v>
      </c>
      <c r="G108" s="159"/>
    </row>
    <row r="109" spans="1:7" s="1" customFormat="1" ht="15" x14ac:dyDescent="0.25">
      <c r="A109" s="64"/>
      <c r="B109" s="64"/>
      <c r="C109" s="112"/>
      <c r="D109" s="112"/>
      <c r="E109" s="112"/>
      <c r="F109" s="56"/>
      <c r="G109" s="150"/>
    </row>
  </sheetData>
  <sheetProtection algorithmName="SHA-512" hashValue="8VcbQlFryTC56XDGKqkAFb08r5bFfPrlNmBuaCWZmFcuK8Bo3sBkaFeciXZ8feXzLDjFKZynNtUT/dXD1wFWXw==" saltValue="54G7MbgL/q8Rsx5x9sLLSw==" spinCount="100000" sheet="1" formatRows="0" selectLockedCells="1"/>
  <mergeCells count="9">
    <mergeCell ref="D49:E49"/>
    <mergeCell ref="D62:E62"/>
    <mergeCell ref="D78:E78"/>
    <mergeCell ref="D98:E98"/>
    <mergeCell ref="C2:E2"/>
    <mergeCell ref="D4:E4"/>
    <mergeCell ref="D14:E14"/>
    <mergeCell ref="D27:E27"/>
    <mergeCell ref="D42:E42"/>
  </mergeCells>
  <conditionalFormatting sqref="E1:E1048576">
    <cfRule type="containsText" dxfId="20" priority="2" operator="containsText" text="Safeguard Scoring Complete">
      <formula>NOT(ISERROR(SEARCH("Safeguard Scoring Complete",E1)))</formula>
    </cfRule>
    <cfRule type="containsText" dxfId="19" priority="11" operator="containsText" text="Safeguard Scoring Incomplete">
      <formula>NOT(ISERROR(SEARCH("Safeguard Scoring Incomplete",E1)))</formula>
    </cfRule>
  </conditionalFormatting>
  <dataValidations count="2">
    <dataValidation type="list" allowBlank="1" showInputMessage="1" showErrorMessage="1" sqref="F2" xr:uid="{2197F6F9-9A35-46B0-B35E-41C2CE419612}">
      <formula1>"Assessed,Not Assessed"</formula1>
    </dataValidation>
    <dataValidation type="list" allowBlank="1" showInputMessage="1" showErrorMessage="1" sqref="E12 E25 E40 E47 E60 E76 E96 E108" xr:uid="{5047285C-2BBA-40C2-AFBD-72B70864AC8B}">
      <formula1>"Safeguard Scoring Complete,Safeguard Scoring Incomplete"</formula1>
    </dataValidation>
  </dataValidations>
  <hyperlinks>
    <hyperlink ref="G2" r:id="rId1" xr:uid="{CF2F93D4-6866-4766-991B-6FCF870B2F2D}"/>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709B66B-EE41-4119-8D69-D0F18FC7EE91}">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04CB-3FD8-4BCC-83F3-FD8A2F08837A}">
  <sheetPr codeName="Sheet16"/>
  <dimension ref="A2:G113"/>
  <sheetViews>
    <sheetView showGridLines="0" topLeftCell="A44" zoomScaleNormal="100" workbookViewId="0">
      <selection activeCell="F6" sqref="F6"/>
    </sheetView>
  </sheetViews>
  <sheetFormatPr defaultColWidth="9.140625" defaultRowHeight="15" x14ac:dyDescent="0.25"/>
  <cols>
    <col min="1" max="2" width="2.7109375" style="108" customWidth="1"/>
    <col min="3" max="3" width="5.7109375" style="54"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1583</v>
      </c>
      <c r="D2" s="214"/>
      <c r="E2" s="214"/>
      <c r="F2" s="100" t="s">
        <v>318</v>
      </c>
      <c r="G2" s="208" t="s">
        <v>2197</v>
      </c>
    </row>
    <row r="4" spans="1:7" x14ac:dyDescent="0.25">
      <c r="A4" s="108">
        <v>0</v>
      </c>
      <c r="B4" s="108">
        <v>2</v>
      </c>
      <c r="C4" s="52">
        <v>13.01</v>
      </c>
      <c r="D4" s="215" t="s">
        <v>262</v>
      </c>
      <c r="E4" s="215"/>
      <c r="F4" s="27" t="s">
        <v>320</v>
      </c>
      <c r="G4" s="146" t="s">
        <v>321</v>
      </c>
    </row>
    <row r="5" spans="1:7" x14ac:dyDescent="0.25">
      <c r="A5" s="108">
        <v>0</v>
      </c>
      <c r="B5" s="108">
        <v>2</v>
      </c>
      <c r="C5" s="53"/>
      <c r="D5" s="28" t="s">
        <v>322</v>
      </c>
      <c r="E5" s="28" t="s">
        <v>1584</v>
      </c>
      <c r="F5" s="31"/>
      <c r="G5" s="32" t="s">
        <v>1585</v>
      </c>
    </row>
    <row r="6" spans="1:7" ht="30" x14ac:dyDescent="0.25">
      <c r="A6" s="108">
        <v>0</v>
      </c>
      <c r="B6" s="108">
        <v>2</v>
      </c>
      <c r="C6" s="53"/>
      <c r="D6" s="28" t="s">
        <v>327</v>
      </c>
      <c r="E6" s="28" t="s">
        <v>1586</v>
      </c>
      <c r="F6" s="124">
        <f>'Control 01'!F6</f>
        <v>0</v>
      </c>
      <c r="G6" s="132" t="s">
        <v>1587</v>
      </c>
    </row>
    <row r="7" spans="1:7" x14ac:dyDescent="0.25">
      <c r="A7" s="108">
        <v>0</v>
      </c>
      <c r="B7" s="108">
        <v>2</v>
      </c>
      <c r="C7" s="53"/>
      <c r="D7" s="28" t="s">
        <v>330</v>
      </c>
      <c r="E7" s="28" t="s">
        <v>1588</v>
      </c>
      <c r="F7" s="31"/>
      <c r="G7" s="32" t="s">
        <v>1589</v>
      </c>
    </row>
    <row r="8" spans="1:7" ht="15.75" thickBot="1" x14ac:dyDescent="0.3">
      <c r="A8" s="108">
        <v>0</v>
      </c>
      <c r="B8" s="108">
        <v>2</v>
      </c>
      <c r="C8" s="53"/>
      <c r="D8" s="28" t="s">
        <v>332</v>
      </c>
      <c r="E8" s="28" t="s">
        <v>1590</v>
      </c>
      <c r="F8" s="124">
        <f>F6-F7</f>
        <v>0</v>
      </c>
      <c r="G8" s="132" t="s">
        <v>1591</v>
      </c>
    </row>
    <row r="9" spans="1:7" ht="15.75" thickBot="1" x14ac:dyDescent="0.3">
      <c r="A9" s="108">
        <v>0</v>
      </c>
      <c r="B9" s="108">
        <v>2</v>
      </c>
      <c r="E9" s="45" t="s">
        <v>1592</v>
      </c>
      <c r="F9" s="46">
        <f>IFERROR(F7/F6,0)</f>
        <v>0</v>
      </c>
      <c r="G9" s="37" t="s">
        <v>348</v>
      </c>
    </row>
    <row r="10" spans="1:7" ht="15.75" thickBot="1" x14ac:dyDescent="0.3">
      <c r="A10" s="108">
        <v>0</v>
      </c>
      <c r="B10" s="108">
        <v>2</v>
      </c>
      <c r="E10" s="47" t="s">
        <v>1593</v>
      </c>
      <c r="F10" s="44">
        <f>F9</f>
        <v>0</v>
      </c>
      <c r="G10" s="37"/>
    </row>
    <row r="12" spans="1:7" s="1" customFormat="1" ht="45" customHeight="1" x14ac:dyDescent="0.25">
      <c r="A12" s="108">
        <v>0</v>
      </c>
      <c r="B12" s="108">
        <v>2</v>
      </c>
      <c r="C12" s="54"/>
      <c r="D12" s="112"/>
      <c r="E12" s="152" t="s">
        <v>2080</v>
      </c>
      <c r="F12" s="147" t="s">
        <v>2053</v>
      </c>
      <c r="G12" s="159"/>
    </row>
    <row r="13" spans="1:7" s="1" customFormat="1" x14ac:dyDescent="0.25">
      <c r="A13" s="64"/>
      <c r="B13" s="64"/>
      <c r="C13" s="112"/>
      <c r="D13" s="112"/>
      <c r="E13" s="112"/>
      <c r="F13" s="56"/>
      <c r="G13" s="150"/>
    </row>
    <row r="14" spans="1:7" x14ac:dyDescent="0.25">
      <c r="A14" s="108">
        <v>9</v>
      </c>
      <c r="B14" s="108">
        <v>2</v>
      </c>
      <c r="C14" s="52">
        <v>13.02</v>
      </c>
      <c r="D14" s="215" t="s">
        <v>263</v>
      </c>
      <c r="E14" s="215"/>
      <c r="F14" s="27" t="s">
        <v>320</v>
      </c>
      <c r="G14" s="146" t="s">
        <v>321</v>
      </c>
    </row>
    <row r="15" spans="1:7" x14ac:dyDescent="0.25">
      <c r="A15" s="108">
        <v>9</v>
      </c>
      <c r="B15" s="108">
        <v>2</v>
      </c>
      <c r="C15" s="53"/>
      <c r="D15" s="28" t="s">
        <v>322</v>
      </c>
      <c r="E15" s="28" t="s">
        <v>1594</v>
      </c>
      <c r="F15" s="31"/>
      <c r="G15" s="32" t="s">
        <v>1595</v>
      </c>
    </row>
    <row r="16" spans="1:7" x14ac:dyDescent="0.25">
      <c r="A16" s="108">
        <v>9</v>
      </c>
      <c r="B16" s="108">
        <v>2</v>
      </c>
      <c r="C16" s="53"/>
      <c r="D16" s="28" t="s">
        <v>327</v>
      </c>
      <c r="E16" s="28" t="s">
        <v>1596</v>
      </c>
      <c r="F16" s="31"/>
      <c r="G16" s="32" t="s">
        <v>1597</v>
      </c>
    </row>
    <row r="17" spans="1:7" ht="15.75" thickBot="1" x14ac:dyDescent="0.3">
      <c r="A17" s="108">
        <v>9</v>
      </c>
      <c r="B17" s="108">
        <v>2</v>
      </c>
      <c r="C17" s="53"/>
      <c r="D17" s="28" t="s">
        <v>330</v>
      </c>
      <c r="E17" s="28" t="s">
        <v>1598</v>
      </c>
      <c r="F17" s="29">
        <f>F15-F16</f>
        <v>0</v>
      </c>
      <c r="G17" s="30" t="s">
        <v>1599</v>
      </c>
    </row>
    <row r="18" spans="1:7" ht="30.75" thickBot="1" x14ac:dyDescent="0.3">
      <c r="A18" s="108">
        <v>9</v>
      </c>
      <c r="B18" s="108">
        <v>2</v>
      </c>
      <c r="E18" s="45" t="s">
        <v>1600</v>
      </c>
      <c r="F18" s="46">
        <f>IFERROR(F16/F15,0)</f>
        <v>0</v>
      </c>
      <c r="G18" s="37" t="s">
        <v>378</v>
      </c>
    </row>
    <row r="19" spans="1:7" ht="15.75" thickBot="1" x14ac:dyDescent="0.3">
      <c r="A19" s="108">
        <v>9</v>
      </c>
      <c r="B19" s="108">
        <v>2</v>
      </c>
      <c r="E19" s="47" t="s">
        <v>1601</v>
      </c>
      <c r="F19" s="44">
        <f>F18</f>
        <v>0</v>
      </c>
      <c r="G19" s="37"/>
    </row>
    <row r="21" spans="1:7" s="1" customFormat="1" ht="45" customHeight="1" x14ac:dyDescent="0.25">
      <c r="A21" s="108">
        <v>9</v>
      </c>
      <c r="B21" s="108">
        <v>2</v>
      </c>
      <c r="C21" s="54"/>
      <c r="D21" s="112"/>
      <c r="E21" s="152" t="s">
        <v>2080</v>
      </c>
      <c r="F21" s="147" t="s">
        <v>2053</v>
      </c>
      <c r="G21" s="159"/>
    </row>
    <row r="22" spans="1:7" s="1" customFormat="1" x14ac:dyDescent="0.25">
      <c r="A22" s="64"/>
      <c r="B22" s="64"/>
      <c r="C22" s="112"/>
      <c r="D22" s="112"/>
      <c r="E22" s="112"/>
      <c r="F22" s="56"/>
      <c r="G22" s="150"/>
    </row>
    <row r="23" spans="1:7" x14ac:dyDescent="0.25">
      <c r="A23" s="108">
        <v>9</v>
      </c>
      <c r="B23" s="108">
        <v>2</v>
      </c>
      <c r="C23" s="52">
        <v>13.03</v>
      </c>
      <c r="D23" s="215" t="s">
        <v>264</v>
      </c>
      <c r="E23" s="215"/>
      <c r="F23" s="27" t="s">
        <v>320</v>
      </c>
      <c r="G23" s="146" t="s">
        <v>321</v>
      </c>
    </row>
    <row r="24" spans="1:7" x14ac:dyDescent="0.25">
      <c r="A24" s="108">
        <v>9</v>
      </c>
      <c r="B24" s="108">
        <v>2</v>
      </c>
      <c r="C24" s="53"/>
      <c r="D24" s="28" t="s">
        <v>322</v>
      </c>
      <c r="E24" s="28" t="s">
        <v>1602</v>
      </c>
      <c r="F24" s="29"/>
      <c r="G24" s="28" t="s">
        <v>1603</v>
      </c>
    </row>
    <row r="25" spans="1:7" x14ac:dyDescent="0.25">
      <c r="A25" s="108">
        <v>9</v>
      </c>
      <c r="B25" s="108">
        <v>2</v>
      </c>
      <c r="C25" s="53"/>
      <c r="D25" s="28" t="s">
        <v>327</v>
      </c>
      <c r="E25" s="28" t="s">
        <v>1604</v>
      </c>
      <c r="F25" s="29"/>
      <c r="G25" s="28" t="s">
        <v>1605</v>
      </c>
    </row>
    <row r="26" spans="1:7" ht="15.75" thickBot="1" x14ac:dyDescent="0.3">
      <c r="A26" s="108">
        <v>9</v>
      </c>
      <c r="B26" s="108">
        <v>2</v>
      </c>
      <c r="C26" s="53"/>
      <c r="D26" s="28" t="s">
        <v>330</v>
      </c>
      <c r="E26" s="28" t="s">
        <v>1606</v>
      </c>
      <c r="F26" s="29">
        <f>F24-F25</f>
        <v>0</v>
      </c>
      <c r="G26" s="28" t="s">
        <v>1607</v>
      </c>
    </row>
    <row r="27" spans="1:7" ht="15.75" thickBot="1" x14ac:dyDescent="0.3">
      <c r="A27" s="108">
        <v>9</v>
      </c>
      <c r="B27" s="108">
        <v>2</v>
      </c>
      <c r="E27" s="45" t="s">
        <v>1608</v>
      </c>
      <c r="F27" s="46">
        <f>IFERROR(F25/F24,0)</f>
        <v>0</v>
      </c>
      <c r="G27" s="37" t="s">
        <v>378</v>
      </c>
    </row>
    <row r="28" spans="1:7" ht="15.75" thickBot="1" x14ac:dyDescent="0.3">
      <c r="A28" s="108">
        <v>9</v>
      </c>
      <c r="B28" s="108">
        <v>2</v>
      </c>
      <c r="E28" s="47" t="s">
        <v>1609</v>
      </c>
      <c r="F28" s="44">
        <f>F27</f>
        <v>0</v>
      </c>
      <c r="G28" s="37"/>
    </row>
    <row r="30" spans="1:7" s="1" customFormat="1" ht="45" customHeight="1" x14ac:dyDescent="0.25">
      <c r="A30" s="108">
        <v>9</v>
      </c>
      <c r="B30" s="108">
        <v>2</v>
      </c>
      <c r="C30" s="54"/>
      <c r="D30" s="112"/>
      <c r="E30" s="152" t="s">
        <v>2080</v>
      </c>
      <c r="F30" s="147" t="s">
        <v>2053</v>
      </c>
      <c r="G30" s="159"/>
    </row>
    <row r="31" spans="1:7" s="1" customFormat="1" x14ac:dyDescent="0.25">
      <c r="A31" s="64"/>
      <c r="B31" s="64"/>
      <c r="C31" s="112"/>
      <c r="D31" s="112"/>
      <c r="E31" s="112"/>
      <c r="F31" s="56"/>
      <c r="G31" s="150"/>
    </row>
    <row r="32" spans="1:7" x14ac:dyDescent="0.25">
      <c r="A32" s="108">
        <v>9</v>
      </c>
      <c r="B32" s="108">
        <v>2</v>
      </c>
      <c r="C32" s="52">
        <v>13.04</v>
      </c>
      <c r="D32" s="215" t="s">
        <v>265</v>
      </c>
      <c r="E32" s="215"/>
      <c r="F32" s="27" t="s">
        <v>320</v>
      </c>
      <c r="G32" s="146" t="s">
        <v>321</v>
      </c>
    </row>
    <row r="33" spans="1:7" x14ac:dyDescent="0.25">
      <c r="A33" s="108">
        <v>9</v>
      </c>
      <c r="B33" s="108">
        <v>2</v>
      </c>
      <c r="C33" s="53"/>
      <c r="D33" s="28" t="s">
        <v>322</v>
      </c>
      <c r="E33" s="28" t="s">
        <v>1610</v>
      </c>
      <c r="F33" s="31"/>
      <c r="G33" s="32"/>
    </row>
    <row r="34" spans="1:7" x14ac:dyDescent="0.25">
      <c r="A34" s="108">
        <v>9</v>
      </c>
      <c r="B34" s="108">
        <v>2</v>
      </c>
      <c r="C34" s="53"/>
      <c r="D34" s="28" t="s">
        <v>327</v>
      </c>
      <c r="E34" s="28" t="s">
        <v>1611</v>
      </c>
      <c r="F34" s="31"/>
      <c r="G34" s="32" t="s">
        <v>1612</v>
      </c>
    </row>
    <row r="35" spans="1:7" ht="15.75" thickBot="1" x14ac:dyDescent="0.3">
      <c r="A35" s="108">
        <v>9</v>
      </c>
      <c r="B35" s="108">
        <v>2</v>
      </c>
      <c r="C35" s="53"/>
      <c r="D35" s="28" t="s">
        <v>330</v>
      </c>
      <c r="E35" s="28" t="s">
        <v>1613</v>
      </c>
      <c r="F35" s="29">
        <f>F33-F34</f>
        <v>0</v>
      </c>
      <c r="G35" s="30" t="s">
        <v>1614</v>
      </c>
    </row>
    <row r="36" spans="1:7" ht="15.75" thickBot="1" x14ac:dyDescent="0.3">
      <c r="A36" s="108">
        <v>9</v>
      </c>
      <c r="B36" s="108">
        <v>2</v>
      </c>
      <c r="E36" s="45" t="s">
        <v>1615</v>
      </c>
      <c r="F36" s="44">
        <f>IFERROR(F34/F33,0)</f>
        <v>0</v>
      </c>
      <c r="G36" s="37" t="s">
        <v>378</v>
      </c>
    </row>
    <row r="37" spans="1:7" ht="15.75" thickBot="1" x14ac:dyDescent="0.3">
      <c r="A37" s="108">
        <v>9</v>
      </c>
      <c r="B37" s="108">
        <v>2</v>
      </c>
      <c r="E37" s="47" t="s">
        <v>1616</v>
      </c>
      <c r="F37" s="44">
        <f>F36</f>
        <v>0</v>
      </c>
      <c r="G37" s="37"/>
    </row>
    <row r="39" spans="1:7" s="1" customFormat="1" ht="45" customHeight="1" x14ac:dyDescent="0.25">
      <c r="A39" s="108">
        <v>9</v>
      </c>
      <c r="B39" s="108">
        <v>2</v>
      </c>
      <c r="C39" s="54"/>
      <c r="D39" s="112"/>
      <c r="E39" s="152" t="s">
        <v>2080</v>
      </c>
      <c r="F39" s="147" t="s">
        <v>2053</v>
      </c>
      <c r="G39" s="159"/>
    </row>
    <row r="40" spans="1:7" s="1" customFormat="1" x14ac:dyDescent="0.25">
      <c r="A40" s="64"/>
      <c r="B40" s="64"/>
      <c r="C40" s="112"/>
      <c r="D40" s="112"/>
      <c r="E40" s="112"/>
      <c r="F40" s="56"/>
      <c r="G40" s="150"/>
    </row>
    <row r="41" spans="1:7" x14ac:dyDescent="0.25">
      <c r="A41" s="108">
        <v>9</v>
      </c>
      <c r="B41" s="108">
        <v>2</v>
      </c>
      <c r="C41" s="52">
        <v>13.05</v>
      </c>
      <c r="D41" s="215" t="s">
        <v>266</v>
      </c>
      <c r="E41" s="215"/>
      <c r="F41" s="27" t="s">
        <v>320</v>
      </c>
      <c r="G41" s="146" t="s">
        <v>321</v>
      </c>
    </row>
    <row r="42" spans="1:7" x14ac:dyDescent="0.25">
      <c r="A42" s="108">
        <v>9</v>
      </c>
      <c r="B42" s="108">
        <v>2</v>
      </c>
      <c r="C42" s="53"/>
      <c r="D42" s="28" t="s">
        <v>322</v>
      </c>
      <c r="E42" s="28" t="s">
        <v>1617</v>
      </c>
      <c r="F42" s="31"/>
      <c r="G42" s="32" t="s">
        <v>1618</v>
      </c>
    </row>
    <row r="43" spans="1:7" x14ac:dyDescent="0.25">
      <c r="A43" s="108">
        <v>9</v>
      </c>
      <c r="B43" s="108">
        <v>2</v>
      </c>
      <c r="C43" s="53"/>
      <c r="D43" s="28" t="s">
        <v>327</v>
      </c>
      <c r="E43" s="28" t="s">
        <v>1619</v>
      </c>
      <c r="F43" s="31"/>
      <c r="G43" s="32" t="s">
        <v>1620</v>
      </c>
    </row>
    <row r="44" spans="1:7" x14ac:dyDescent="0.25">
      <c r="A44" s="108">
        <v>9</v>
      </c>
      <c r="B44" s="108">
        <v>2</v>
      </c>
      <c r="C44" s="53"/>
      <c r="D44" s="28" t="s">
        <v>330</v>
      </c>
      <c r="E44" s="28" t="s">
        <v>1621</v>
      </c>
      <c r="F44" s="29">
        <f>F42-F43</f>
        <v>0</v>
      </c>
      <c r="G44" s="30" t="s">
        <v>1622</v>
      </c>
    </row>
    <row r="45" spans="1:7" x14ac:dyDescent="0.25">
      <c r="A45" s="108">
        <v>9</v>
      </c>
      <c r="B45" s="108">
        <v>2</v>
      </c>
      <c r="C45" s="53"/>
      <c r="D45" s="28" t="s">
        <v>332</v>
      </c>
      <c r="E45" s="28" t="s">
        <v>1623</v>
      </c>
      <c r="F45" s="31"/>
      <c r="G45" s="32" t="s">
        <v>1624</v>
      </c>
    </row>
    <row r="46" spans="1:7" x14ac:dyDescent="0.25">
      <c r="A46" s="108">
        <v>9</v>
      </c>
      <c r="B46" s="108">
        <v>2</v>
      </c>
      <c r="C46" s="53"/>
      <c r="D46" s="28" t="s">
        <v>335</v>
      </c>
      <c r="E46" s="28" t="s">
        <v>1625</v>
      </c>
      <c r="F46" s="29">
        <f>F47-F45</f>
        <v>0</v>
      </c>
      <c r="G46" s="30" t="s">
        <v>1626</v>
      </c>
    </row>
    <row r="47" spans="1:7" ht="15.75" thickBot="1" x14ac:dyDescent="0.3">
      <c r="A47" s="108">
        <v>9</v>
      </c>
      <c r="B47" s="108">
        <v>2</v>
      </c>
      <c r="C47" s="53"/>
      <c r="D47" s="28" t="s">
        <v>338</v>
      </c>
      <c r="E47" s="28" t="s">
        <v>1627</v>
      </c>
      <c r="F47" s="31"/>
      <c r="G47" s="32" t="s">
        <v>1628</v>
      </c>
    </row>
    <row r="48" spans="1:7" ht="15.75" thickBot="1" x14ac:dyDescent="0.3">
      <c r="A48" s="108">
        <v>9</v>
      </c>
      <c r="B48" s="108">
        <v>2</v>
      </c>
      <c r="E48" s="45" t="s">
        <v>1629</v>
      </c>
      <c r="F48" s="46">
        <f>IFERROR(F43/F42,0)</f>
        <v>0</v>
      </c>
      <c r="G48" s="37" t="s">
        <v>378</v>
      </c>
    </row>
    <row r="49" spans="1:7" ht="15.75" thickBot="1" x14ac:dyDescent="0.3">
      <c r="A49" s="108">
        <v>9</v>
      </c>
      <c r="B49" s="108">
        <v>2</v>
      </c>
      <c r="E49" s="45" t="s">
        <v>1630</v>
      </c>
      <c r="F49" s="46">
        <f>IFERROR(F45/F47,0)</f>
        <v>0</v>
      </c>
      <c r="G49" s="37" t="s">
        <v>565</v>
      </c>
    </row>
    <row r="50" spans="1:7" ht="15.75" thickBot="1" x14ac:dyDescent="0.3">
      <c r="A50" s="108">
        <v>9</v>
      </c>
      <c r="B50" s="108">
        <v>2</v>
      </c>
      <c r="E50" s="47" t="s">
        <v>1631</v>
      </c>
      <c r="F50" s="44">
        <f>AVERAGE(F48:F49)</f>
        <v>0</v>
      </c>
      <c r="G50" s="37"/>
    </row>
    <row r="52" spans="1:7" s="1" customFormat="1" ht="45" customHeight="1" x14ac:dyDescent="0.25">
      <c r="A52" s="108">
        <v>9</v>
      </c>
      <c r="B52" s="108">
        <v>2</v>
      </c>
      <c r="C52" s="54"/>
      <c r="D52" s="112"/>
      <c r="E52" s="152" t="s">
        <v>2080</v>
      </c>
      <c r="F52" s="147" t="s">
        <v>2053</v>
      </c>
      <c r="G52" s="159"/>
    </row>
    <row r="53" spans="1:7" s="1" customFormat="1" x14ac:dyDescent="0.25">
      <c r="A53" s="64"/>
      <c r="B53" s="64"/>
      <c r="C53" s="112"/>
      <c r="D53" s="112"/>
      <c r="E53" s="112"/>
      <c r="F53" s="56"/>
      <c r="G53" s="150"/>
    </row>
    <row r="54" spans="1:7" x14ac:dyDescent="0.25">
      <c r="A54" s="108">
        <v>9</v>
      </c>
      <c r="B54" s="108">
        <v>2</v>
      </c>
      <c r="C54" s="52">
        <v>13.06</v>
      </c>
      <c r="D54" s="215" t="s">
        <v>1632</v>
      </c>
      <c r="E54" s="215"/>
      <c r="F54" s="27" t="s">
        <v>320</v>
      </c>
      <c r="G54" s="146" t="s">
        <v>321</v>
      </c>
    </row>
    <row r="55" spans="1:7" x14ac:dyDescent="0.25">
      <c r="A55" s="108">
        <v>9</v>
      </c>
      <c r="B55" s="108">
        <v>2</v>
      </c>
      <c r="C55" s="53"/>
      <c r="D55" s="28" t="s">
        <v>322</v>
      </c>
      <c r="E55" s="28" t="s">
        <v>1633</v>
      </c>
      <c r="F55" s="136"/>
      <c r="G55" s="137" t="s">
        <v>1634</v>
      </c>
    </row>
    <row r="56" spans="1:7" x14ac:dyDescent="0.25">
      <c r="A56" s="108">
        <v>9</v>
      </c>
      <c r="B56" s="108">
        <v>2</v>
      </c>
      <c r="C56" s="53"/>
      <c r="D56" s="28" t="s">
        <v>327</v>
      </c>
      <c r="E56" s="28" t="s">
        <v>1635</v>
      </c>
      <c r="F56" s="136"/>
      <c r="G56" s="137" t="s">
        <v>1636</v>
      </c>
    </row>
    <row r="57" spans="1:7" ht="15.75" thickBot="1" x14ac:dyDescent="0.3">
      <c r="A57" s="108">
        <v>9</v>
      </c>
      <c r="B57" s="108">
        <v>2</v>
      </c>
      <c r="C57" s="53"/>
      <c r="D57" s="28" t="s">
        <v>330</v>
      </c>
      <c r="E57" s="28" t="s">
        <v>1637</v>
      </c>
      <c r="F57" s="29">
        <f>F55-F56</f>
        <v>0</v>
      </c>
      <c r="G57" s="30" t="s">
        <v>1638</v>
      </c>
    </row>
    <row r="58" spans="1:7" ht="30.75" thickBot="1" x14ac:dyDescent="0.3">
      <c r="A58" s="108">
        <v>9</v>
      </c>
      <c r="B58" s="108">
        <v>2</v>
      </c>
      <c r="E58" s="45" t="s">
        <v>1639</v>
      </c>
      <c r="F58" s="46">
        <f>IFERROR(F56/F55,0)</f>
        <v>0</v>
      </c>
      <c r="G58" s="37" t="s">
        <v>378</v>
      </c>
    </row>
    <row r="59" spans="1:7" ht="15.75" thickBot="1" x14ac:dyDescent="0.3">
      <c r="A59" s="108">
        <v>9</v>
      </c>
      <c r="B59" s="108">
        <v>2</v>
      </c>
      <c r="E59" s="47" t="s">
        <v>1640</v>
      </c>
      <c r="F59" s="44">
        <f>F58</f>
        <v>0</v>
      </c>
      <c r="G59" s="37"/>
    </row>
    <row r="61" spans="1:7" s="1" customFormat="1" ht="45" customHeight="1" x14ac:dyDescent="0.25">
      <c r="A61" s="108">
        <v>9</v>
      </c>
      <c r="B61" s="108">
        <v>2</v>
      </c>
      <c r="C61" s="54"/>
      <c r="D61" s="112"/>
      <c r="E61" s="152" t="s">
        <v>2080</v>
      </c>
      <c r="F61" s="147" t="s">
        <v>2053</v>
      </c>
      <c r="G61" s="159"/>
    </row>
    <row r="62" spans="1:7" s="1" customFormat="1" x14ac:dyDescent="0.25">
      <c r="A62" s="64"/>
      <c r="B62" s="64"/>
      <c r="C62" s="112"/>
      <c r="D62" s="112"/>
      <c r="E62" s="112"/>
      <c r="F62" s="56"/>
      <c r="G62" s="150"/>
    </row>
    <row r="63" spans="1:7" x14ac:dyDescent="0.25">
      <c r="A63" s="108">
        <v>0</v>
      </c>
      <c r="B63" s="108">
        <v>3</v>
      </c>
      <c r="C63" s="52">
        <v>13.07</v>
      </c>
      <c r="D63" s="215" t="s">
        <v>268</v>
      </c>
      <c r="E63" s="215"/>
      <c r="F63" s="27" t="s">
        <v>320</v>
      </c>
      <c r="G63" s="146" t="s">
        <v>321</v>
      </c>
    </row>
    <row r="64" spans="1:7" ht="30" x14ac:dyDescent="0.25">
      <c r="A64" s="108">
        <v>0</v>
      </c>
      <c r="B64" s="108">
        <v>3</v>
      </c>
      <c r="C64" s="53"/>
      <c r="D64" s="28" t="s">
        <v>322</v>
      </c>
      <c r="E64" s="28" t="s">
        <v>1641</v>
      </c>
      <c r="F64" s="31">
        <f>IF(GlobalSettings!C2=0,'Control 08'!F16,"")</f>
        <v>0</v>
      </c>
      <c r="G64" s="32" t="s">
        <v>1642</v>
      </c>
    </row>
    <row r="65" spans="1:7" ht="30" x14ac:dyDescent="0.25">
      <c r="A65" s="108">
        <v>0</v>
      </c>
      <c r="B65" s="108">
        <v>3</v>
      </c>
      <c r="C65" s="53"/>
      <c r="D65" s="28" t="s">
        <v>327</v>
      </c>
      <c r="E65" s="28" t="s">
        <v>1643</v>
      </c>
      <c r="F65" s="31">
        <f>IF(GlobalSettings!C2=0,'Control 08'!F17,"")</f>
        <v>0</v>
      </c>
      <c r="G65" s="32" t="s">
        <v>1644</v>
      </c>
    </row>
    <row r="66" spans="1:7" ht="30.75" thickBot="1" x14ac:dyDescent="0.3">
      <c r="A66" s="108">
        <v>0</v>
      </c>
      <c r="B66" s="108">
        <v>3</v>
      </c>
      <c r="C66" s="53"/>
      <c r="D66" s="28" t="s">
        <v>330</v>
      </c>
      <c r="E66" s="28" t="s">
        <v>1645</v>
      </c>
      <c r="F66" s="124">
        <f>IFERROR(F64-F65,0)</f>
        <v>0</v>
      </c>
      <c r="G66" s="132" t="s">
        <v>1646</v>
      </c>
    </row>
    <row r="67" spans="1:7" ht="30.75" thickBot="1" x14ac:dyDescent="0.3">
      <c r="A67" s="108">
        <v>0</v>
      </c>
      <c r="B67" s="108">
        <v>3</v>
      </c>
      <c r="E67" s="45" t="s">
        <v>1647</v>
      </c>
      <c r="F67" s="46">
        <f>IFERROR(F65/F64,0)</f>
        <v>0</v>
      </c>
      <c r="G67" s="37" t="s">
        <v>378</v>
      </c>
    </row>
    <row r="68" spans="1:7" ht="15.75" thickBot="1" x14ac:dyDescent="0.3">
      <c r="A68" s="108">
        <v>0</v>
      </c>
      <c r="B68" s="108">
        <v>3</v>
      </c>
      <c r="E68" s="47" t="s">
        <v>1648</v>
      </c>
      <c r="F68" s="44">
        <f>F67</f>
        <v>0</v>
      </c>
      <c r="G68" s="37"/>
    </row>
    <row r="70" spans="1:7" s="1" customFormat="1" ht="45" customHeight="1" x14ac:dyDescent="0.25">
      <c r="A70" s="108">
        <v>0</v>
      </c>
      <c r="B70" s="108">
        <v>3</v>
      </c>
      <c r="C70" s="54"/>
      <c r="D70" s="112"/>
      <c r="E70" s="152" t="s">
        <v>2080</v>
      </c>
      <c r="F70" s="147" t="s">
        <v>2053</v>
      </c>
      <c r="G70" s="159"/>
    </row>
    <row r="71" spans="1:7" s="1" customFormat="1" x14ac:dyDescent="0.25">
      <c r="A71" s="64"/>
      <c r="B71" s="64"/>
      <c r="C71" s="112"/>
      <c r="D71" s="112"/>
      <c r="E71" s="112"/>
      <c r="F71" s="56"/>
      <c r="G71" s="150"/>
    </row>
    <row r="72" spans="1:7" x14ac:dyDescent="0.25">
      <c r="A72" s="108">
        <v>9</v>
      </c>
      <c r="B72" s="108">
        <v>3</v>
      </c>
      <c r="C72" s="52">
        <v>13.08</v>
      </c>
      <c r="D72" s="215" t="s">
        <v>1649</v>
      </c>
      <c r="E72" s="215"/>
      <c r="F72" s="27" t="s">
        <v>320</v>
      </c>
      <c r="G72" s="146" t="s">
        <v>321</v>
      </c>
    </row>
    <row r="73" spans="1:7" x14ac:dyDescent="0.25">
      <c r="A73" s="108">
        <v>9</v>
      </c>
      <c r="B73" s="108">
        <v>3</v>
      </c>
      <c r="C73" s="53"/>
      <c r="D73" s="28" t="s">
        <v>322</v>
      </c>
      <c r="E73" s="28" t="s">
        <v>1650</v>
      </c>
      <c r="F73" s="31"/>
      <c r="G73" s="32"/>
    </row>
    <row r="74" spans="1:7" x14ac:dyDescent="0.25">
      <c r="A74" s="108">
        <v>9</v>
      </c>
      <c r="B74" s="108">
        <v>3</v>
      </c>
      <c r="C74" s="53"/>
      <c r="D74" s="28" t="s">
        <v>327</v>
      </c>
      <c r="E74" s="28" t="s">
        <v>1651</v>
      </c>
      <c r="F74" s="31"/>
      <c r="G74" s="32" t="s">
        <v>1652</v>
      </c>
    </row>
    <row r="75" spans="1:7" ht="15.75" thickBot="1" x14ac:dyDescent="0.3">
      <c r="A75" s="108">
        <v>9</v>
      </c>
      <c r="B75" s="108">
        <v>3</v>
      </c>
      <c r="C75" s="53"/>
      <c r="D75" s="28" t="s">
        <v>330</v>
      </c>
      <c r="E75" s="28" t="s">
        <v>1653</v>
      </c>
      <c r="F75" s="29">
        <f>F73-F74</f>
        <v>0</v>
      </c>
      <c r="G75" s="30" t="s">
        <v>1654</v>
      </c>
    </row>
    <row r="76" spans="1:7" ht="15.75" thickBot="1" x14ac:dyDescent="0.3">
      <c r="A76" s="108">
        <v>9</v>
      </c>
      <c r="B76" s="108">
        <v>3</v>
      </c>
      <c r="E76" s="45" t="s">
        <v>1655</v>
      </c>
      <c r="F76" s="46">
        <f>IFERROR(F74/F73,0)</f>
        <v>0</v>
      </c>
      <c r="G76" s="37" t="s">
        <v>378</v>
      </c>
    </row>
    <row r="77" spans="1:7" ht="15.75" thickBot="1" x14ac:dyDescent="0.3">
      <c r="A77" s="108">
        <v>9</v>
      </c>
      <c r="B77" s="108">
        <v>3</v>
      </c>
      <c r="E77" s="47" t="s">
        <v>1656</v>
      </c>
      <c r="F77" s="44">
        <f>F76</f>
        <v>0</v>
      </c>
      <c r="G77" s="37"/>
    </row>
    <row r="79" spans="1:7" s="1" customFormat="1" ht="45" customHeight="1" x14ac:dyDescent="0.25">
      <c r="A79" s="108">
        <v>9</v>
      </c>
      <c r="B79" s="108">
        <v>3</v>
      </c>
      <c r="C79" s="54"/>
      <c r="D79" s="112"/>
      <c r="E79" s="152" t="s">
        <v>2080</v>
      </c>
      <c r="F79" s="147" t="s">
        <v>2053</v>
      </c>
      <c r="G79" s="159"/>
    </row>
    <row r="80" spans="1:7" s="1" customFormat="1" x14ac:dyDescent="0.25">
      <c r="A80" s="64"/>
      <c r="B80" s="64"/>
      <c r="C80" s="112"/>
      <c r="D80" s="112"/>
      <c r="E80" s="112"/>
      <c r="F80" s="56"/>
      <c r="G80" s="150"/>
    </row>
    <row r="81" spans="1:7" x14ac:dyDescent="0.25">
      <c r="A81" s="108">
        <v>9</v>
      </c>
      <c r="B81" s="108">
        <v>3</v>
      </c>
      <c r="C81" s="52">
        <v>13.09</v>
      </c>
      <c r="D81" s="215" t="s">
        <v>270</v>
      </c>
      <c r="E81" s="215"/>
      <c r="F81" s="27" t="s">
        <v>320</v>
      </c>
      <c r="G81" s="146" t="s">
        <v>321</v>
      </c>
    </row>
    <row r="82" spans="1:7" x14ac:dyDescent="0.25">
      <c r="A82" s="108">
        <v>9</v>
      </c>
      <c r="B82" s="108">
        <v>3</v>
      </c>
      <c r="C82" s="53"/>
      <c r="D82" s="28" t="s">
        <v>322</v>
      </c>
      <c r="E82" s="28" t="s">
        <v>1657</v>
      </c>
      <c r="F82" s="31"/>
      <c r="G82" s="32"/>
    </row>
    <row r="83" spans="1:7" x14ac:dyDescent="0.25">
      <c r="A83" s="108">
        <v>9</v>
      </c>
      <c r="B83" s="108">
        <v>3</v>
      </c>
      <c r="C83" s="53"/>
      <c r="D83" s="28" t="s">
        <v>327</v>
      </c>
      <c r="E83" s="28" t="s">
        <v>1658</v>
      </c>
      <c r="F83" s="31"/>
      <c r="G83" s="32" t="s">
        <v>1659</v>
      </c>
    </row>
    <row r="84" spans="1:7" x14ac:dyDescent="0.25">
      <c r="A84" s="108">
        <v>9</v>
      </c>
      <c r="B84" s="108">
        <v>3</v>
      </c>
      <c r="C84" s="53"/>
      <c r="D84" s="28" t="s">
        <v>330</v>
      </c>
      <c r="E84" s="28" t="s">
        <v>1660</v>
      </c>
      <c r="F84" s="29">
        <f>F82-F83</f>
        <v>0</v>
      </c>
      <c r="G84" s="30" t="s">
        <v>1661</v>
      </c>
    </row>
    <row r="85" spans="1:7" x14ac:dyDescent="0.25">
      <c r="A85" s="108">
        <v>9</v>
      </c>
      <c r="B85" s="108">
        <v>3</v>
      </c>
      <c r="C85" s="53"/>
      <c r="D85" s="28" t="s">
        <v>332</v>
      </c>
      <c r="E85" s="28" t="s">
        <v>1662</v>
      </c>
      <c r="F85" s="31"/>
      <c r="G85" s="32" t="s">
        <v>1663</v>
      </c>
    </row>
    <row r="86" spans="1:7" x14ac:dyDescent="0.25">
      <c r="A86" s="108">
        <v>9</v>
      </c>
      <c r="B86" s="108">
        <v>3</v>
      </c>
      <c r="C86" s="53"/>
      <c r="D86" s="28" t="s">
        <v>335</v>
      </c>
      <c r="E86" s="28" t="s">
        <v>1664</v>
      </c>
      <c r="F86" s="31"/>
      <c r="G86" s="32" t="s">
        <v>1665</v>
      </c>
    </row>
    <row r="87" spans="1:7" x14ac:dyDescent="0.25">
      <c r="A87" s="108">
        <v>9</v>
      </c>
      <c r="B87" s="108">
        <v>3</v>
      </c>
      <c r="C87" s="53"/>
      <c r="D87" s="28" t="s">
        <v>338</v>
      </c>
      <c r="E87" s="28" t="s">
        <v>1666</v>
      </c>
      <c r="F87" s="29">
        <f>F85-F86</f>
        <v>0</v>
      </c>
      <c r="G87" s="30" t="s">
        <v>1667</v>
      </c>
    </row>
    <row r="88" spans="1:7" x14ac:dyDescent="0.25">
      <c r="A88" s="108">
        <v>9</v>
      </c>
      <c r="B88" s="108">
        <v>3</v>
      </c>
      <c r="C88" s="53"/>
      <c r="D88" s="28" t="s">
        <v>341</v>
      </c>
      <c r="E88" s="28" t="s">
        <v>1668</v>
      </c>
      <c r="F88" s="31"/>
      <c r="G88" s="32"/>
    </row>
    <row r="89" spans="1:7" x14ac:dyDescent="0.25">
      <c r="A89" s="108">
        <v>9</v>
      </c>
      <c r="B89" s="108">
        <v>3</v>
      </c>
      <c r="C89" s="53"/>
      <c r="D89" s="28" t="s">
        <v>344</v>
      </c>
      <c r="E89" s="28" t="s">
        <v>1669</v>
      </c>
      <c r="F89" s="31"/>
      <c r="G89" s="32" t="s">
        <v>1363</v>
      </c>
    </row>
    <row r="90" spans="1:7" ht="15.75" thickBot="1" x14ac:dyDescent="0.3">
      <c r="A90" s="108">
        <v>9</v>
      </c>
      <c r="B90" s="108">
        <v>3</v>
      </c>
      <c r="D90" s="28" t="s">
        <v>522</v>
      </c>
      <c r="E90" s="28" t="s">
        <v>1670</v>
      </c>
      <c r="F90" s="29">
        <f>F88-F89</f>
        <v>0</v>
      </c>
      <c r="G90" s="30" t="s">
        <v>1671</v>
      </c>
    </row>
    <row r="91" spans="1:7" ht="15.75" thickBot="1" x14ac:dyDescent="0.3">
      <c r="A91" s="108">
        <v>9</v>
      </c>
      <c r="B91" s="108">
        <v>3</v>
      </c>
      <c r="E91" s="45" t="s">
        <v>1672</v>
      </c>
      <c r="F91" s="46">
        <f>IFERROR(F83/F82,0)</f>
        <v>0</v>
      </c>
      <c r="G91" s="37" t="s">
        <v>378</v>
      </c>
    </row>
    <row r="92" spans="1:7" ht="15.75" thickBot="1" x14ac:dyDescent="0.3">
      <c r="A92" s="108">
        <v>9</v>
      </c>
      <c r="B92" s="108">
        <v>3</v>
      </c>
      <c r="E92" s="45" t="s">
        <v>1673</v>
      </c>
      <c r="F92" s="46">
        <f>IFERROR(F86/F85,0)</f>
        <v>0</v>
      </c>
      <c r="G92" s="37" t="s">
        <v>439</v>
      </c>
    </row>
    <row r="93" spans="1:7" ht="15.75" thickBot="1" x14ac:dyDescent="0.3">
      <c r="A93" s="108">
        <v>9</v>
      </c>
      <c r="B93" s="108">
        <v>3</v>
      </c>
      <c r="E93" s="45" t="s">
        <v>1674</v>
      </c>
      <c r="F93" s="46">
        <f>IFERROR(F89/F88,0)</f>
        <v>0</v>
      </c>
      <c r="G93" s="37" t="s">
        <v>1675</v>
      </c>
    </row>
    <row r="94" spans="1:7" ht="15.75" thickBot="1" x14ac:dyDescent="0.3">
      <c r="A94" s="108">
        <v>9</v>
      </c>
      <c r="B94" s="108">
        <v>3</v>
      </c>
      <c r="E94" s="47" t="s">
        <v>1676</v>
      </c>
      <c r="F94" s="44">
        <f>IF(OR(F82&gt;0,F85&gt;0),AVERAGE(F91:F92),F93)</f>
        <v>0</v>
      </c>
      <c r="G94" s="37"/>
    </row>
    <row r="96" spans="1:7" s="1" customFormat="1" ht="45" customHeight="1" x14ac:dyDescent="0.25">
      <c r="A96" s="108">
        <v>9</v>
      </c>
      <c r="B96" s="108">
        <v>3</v>
      </c>
      <c r="C96" s="54"/>
      <c r="D96" s="112"/>
      <c r="E96" s="152" t="s">
        <v>2080</v>
      </c>
      <c r="F96" s="147" t="s">
        <v>2053</v>
      </c>
      <c r="G96" s="159"/>
    </row>
    <row r="97" spans="1:7" s="1" customFormat="1" x14ac:dyDescent="0.25">
      <c r="A97" s="64"/>
      <c r="B97" s="64"/>
      <c r="C97" s="112"/>
      <c r="D97" s="112"/>
      <c r="E97" s="112"/>
      <c r="F97" s="56"/>
      <c r="G97" s="150"/>
    </row>
    <row r="98" spans="1:7" x14ac:dyDescent="0.25">
      <c r="A98" s="108">
        <v>9</v>
      </c>
      <c r="B98" s="108">
        <v>3</v>
      </c>
      <c r="C98" s="52">
        <v>13.1</v>
      </c>
      <c r="D98" s="215" t="s">
        <v>271</v>
      </c>
      <c r="E98" s="215"/>
      <c r="F98" s="27" t="s">
        <v>320</v>
      </c>
      <c r="G98" s="146" t="s">
        <v>321</v>
      </c>
    </row>
    <row r="99" spans="1:7" x14ac:dyDescent="0.25">
      <c r="A99" s="108">
        <v>9</v>
      </c>
      <c r="B99" s="108">
        <v>3</v>
      </c>
      <c r="C99" s="53"/>
      <c r="D99" s="28" t="s">
        <v>322</v>
      </c>
      <c r="E99" s="28" t="s">
        <v>1453</v>
      </c>
      <c r="F99" s="31"/>
      <c r="G99" s="32"/>
    </row>
    <row r="100" spans="1:7" x14ac:dyDescent="0.25">
      <c r="A100" s="108">
        <v>9</v>
      </c>
      <c r="B100" s="108">
        <v>3</v>
      </c>
      <c r="C100" s="53"/>
      <c r="D100" s="28" t="s">
        <v>327</v>
      </c>
      <c r="E100" s="28" t="s">
        <v>1677</v>
      </c>
      <c r="F100" s="31"/>
      <c r="G100" s="32" t="s">
        <v>1678</v>
      </c>
    </row>
    <row r="101" spans="1:7" ht="15.75" thickBot="1" x14ac:dyDescent="0.3">
      <c r="A101" s="108">
        <v>9</v>
      </c>
      <c r="B101" s="108">
        <v>3</v>
      </c>
      <c r="C101" s="53"/>
      <c r="D101" s="28" t="s">
        <v>330</v>
      </c>
      <c r="E101" s="28" t="s">
        <v>1679</v>
      </c>
      <c r="F101" s="29">
        <f>F99-F100</f>
        <v>0</v>
      </c>
      <c r="G101" s="30" t="s">
        <v>1680</v>
      </c>
    </row>
    <row r="102" spans="1:7" ht="15.75" thickBot="1" x14ac:dyDescent="0.3">
      <c r="A102" s="108">
        <v>9</v>
      </c>
      <c r="B102" s="108">
        <v>3</v>
      </c>
      <c r="E102" s="45" t="s">
        <v>1681</v>
      </c>
      <c r="F102" s="46">
        <f>IFERROR(F100/F99,0)</f>
        <v>0</v>
      </c>
      <c r="G102" s="37" t="s">
        <v>378</v>
      </c>
    </row>
    <row r="103" spans="1:7" ht="15.75" thickBot="1" x14ac:dyDescent="0.3">
      <c r="A103" s="108">
        <v>9</v>
      </c>
      <c r="B103" s="108">
        <v>3</v>
      </c>
      <c r="E103" s="47" t="s">
        <v>1682</v>
      </c>
      <c r="F103" s="44">
        <f>F102</f>
        <v>0</v>
      </c>
      <c r="G103" s="37"/>
    </row>
    <row r="105" spans="1:7" s="1" customFormat="1" ht="45" customHeight="1" x14ac:dyDescent="0.25">
      <c r="A105" s="108">
        <v>9</v>
      </c>
      <c r="B105" s="108">
        <v>3</v>
      </c>
      <c r="C105" s="54"/>
      <c r="D105" s="112"/>
      <c r="E105" s="152" t="s">
        <v>2080</v>
      </c>
      <c r="F105" s="147" t="s">
        <v>2053</v>
      </c>
      <c r="G105" s="159"/>
    </row>
    <row r="106" spans="1:7" s="1" customFormat="1" x14ac:dyDescent="0.25">
      <c r="A106" s="64"/>
      <c r="B106" s="64"/>
      <c r="C106" s="112"/>
      <c r="D106" s="112"/>
      <c r="E106" s="112"/>
      <c r="F106" s="56"/>
      <c r="G106" s="150"/>
    </row>
    <row r="107" spans="1:7" x14ac:dyDescent="0.25">
      <c r="A107" s="108">
        <v>9</v>
      </c>
      <c r="B107" s="108">
        <v>3</v>
      </c>
      <c r="C107" s="52">
        <v>13.11</v>
      </c>
      <c r="D107" s="215" t="s">
        <v>272</v>
      </c>
      <c r="E107" s="215"/>
      <c r="F107" s="27" t="s">
        <v>320</v>
      </c>
      <c r="G107" s="146" t="s">
        <v>321</v>
      </c>
    </row>
    <row r="108" spans="1:7" ht="15.75" thickBot="1" x14ac:dyDescent="0.3">
      <c r="A108" s="108">
        <v>9</v>
      </c>
      <c r="B108" s="108">
        <v>3</v>
      </c>
      <c r="C108" s="53"/>
      <c r="D108" s="28" t="s">
        <v>322</v>
      </c>
      <c r="E108" s="28" t="s">
        <v>1683</v>
      </c>
      <c r="F108" s="135"/>
      <c r="G108" s="32" t="s">
        <v>1684</v>
      </c>
    </row>
    <row r="109" spans="1:7" ht="15.75" thickBot="1" x14ac:dyDescent="0.3">
      <c r="A109" s="108">
        <v>9</v>
      </c>
      <c r="B109" s="108">
        <v>3</v>
      </c>
      <c r="E109" s="45" t="s">
        <v>1685</v>
      </c>
      <c r="F109" s="75">
        <f>GlobalSettings!C4-F108</f>
        <v>45901</v>
      </c>
      <c r="G109" s="37"/>
    </row>
    <row r="110" spans="1:7" ht="15.75" thickBot="1" x14ac:dyDescent="0.3">
      <c r="A110" s="108">
        <v>9</v>
      </c>
      <c r="B110" s="108">
        <v>3</v>
      </c>
      <c r="E110" s="47" t="s">
        <v>1686</v>
      </c>
      <c r="F110" s="44">
        <f>IF(F109&gt;30,0,1)</f>
        <v>0</v>
      </c>
      <c r="G110" s="37"/>
    </row>
    <row r="112" spans="1:7" s="1" customFormat="1" ht="45" customHeight="1" x14ac:dyDescent="0.25">
      <c r="A112" s="108">
        <v>9</v>
      </c>
      <c r="B112" s="108">
        <v>3</v>
      </c>
      <c r="C112" s="54"/>
      <c r="D112" s="112"/>
      <c r="E112" s="152" t="s">
        <v>2080</v>
      </c>
      <c r="F112" s="147" t="s">
        <v>2053</v>
      </c>
      <c r="G112" s="159"/>
    </row>
    <row r="113" spans="1:7" s="1" customFormat="1" x14ac:dyDescent="0.25">
      <c r="A113" s="64"/>
      <c r="B113" s="64"/>
      <c r="C113" s="112"/>
      <c r="D113" s="112"/>
      <c r="E113" s="112"/>
      <c r="F113" s="56"/>
      <c r="G113" s="150"/>
    </row>
  </sheetData>
  <sheetProtection algorithmName="SHA-512" hashValue="B71xb/8uwPZVFTm9J+irXbS5O68fcJzSbpGZMy9wrym3tNTynVv5q96hGxrAsJ8TZjShHTQRG9ZSXHT3f27g/w==" saltValue="Ouf+YfzKCKUnOd6ARy6oAQ==" spinCount="100000" sheet="1" formatRows="0" selectLockedCells="1"/>
  <mergeCells count="12">
    <mergeCell ref="D98:E98"/>
    <mergeCell ref="D107:E107"/>
    <mergeCell ref="D41:E41"/>
    <mergeCell ref="D54:E54"/>
    <mergeCell ref="D63:E63"/>
    <mergeCell ref="D72:E72"/>
    <mergeCell ref="D81:E81"/>
    <mergeCell ref="C2:E2"/>
    <mergeCell ref="D4:E4"/>
    <mergeCell ref="D14:E14"/>
    <mergeCell ref="D23:E23"/>
    <mergeCell ref="D32:E32"/>
  </mergeCells>
  <conditionalFormatting sqref="E1:E1048576">
    <cfRule type="containsText" dxfId="17" priority="2" operator="containsText" text="Safeguard Scoring Complete">
      <formula>NOT(ISERROR(SEARCH("Safeguard Scoring Complete",E1)))</formula>
    </cfRule>
    <cfRule type="containsText" dxfId="16" priority="14" operator="containsText" text="Safeguard Scoring Incomplete">
      <formula>NOT(ISERROR(SEARCH("Safeguard Scoring Incomplete",E1)))</formula>
    </cfRule>
  </conditionalFormatting>
  <dataValidations count="3">
    <dataValidation type="list" allowBlank="1" showInputMessage="1" showErrorMessage="1" sqref="F2" xr:uid="{F884699B-7B20-4940-BF1E-5EB7ABC60242}">
      <formula1>"Assessed,Not Assessed"</formula1>
    </dataValidation>
    <dataValidation type="list" allowBlank="1" showInputMessage="1" showErrorMessage="1" sqref="F5" xr:uid="{590ED2EB-E79E-4445-B4FC-C5680F750024}">
      <formula1>"0,1"</formula1>
    </dataValidation>
    <dataValidation type="list" allowBlank="1" showInputMessage="1" showErrorMessage="1" sqref="E12 E21 E30 E39 E52 E61 E70 E79 E96 E105 E112" xr:uid="{6E7F0C54-0C3A-43F5-8C99-1A37ECC82CD3}">
      <formula1>"Safeguard Scoring Complete,Safeguard Scoring Incomplete"</formula1>
    </dataValidation>
  </dataValidations>
  <hyperlinks>
    <hyperlink ref="G2" r:id="rId1" xr:uid="{7AEE3B8F-C710-42E0-B42A-584186FD42CF}"/>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7E5A12C-8B38-4400-85FE-B7819B9BE571}">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99A20-A315-4D03-A880-3E6591522940}">
  <sheetPr codeName="Sheet17"/>
  <dimension ref="A2:G121"/>
  <sheetViews>
    <sheetView showGridLines="0" workbookViewId="0">
      <selection activeCell="E120" sqref="E120"/>
    </sheetView>
  </sheetViews>
  <sheetFormatPr defaultColWidth="9.140625" defaultRowHeight="15" x14ac:dyDescent="0.25"/>
  <cols>
    <col min="1" max="2" width="2.7109375" style="108" customWidth="1"/>
    <col min="3" max="3" width="6"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1687</v>
      </c>
      <c r="D2" s="214"/>
      <c r="E2" s="214"/>
      <c r="F2" s="100" t="s">
        <v>318</v>
      </c>
      <c r="G2" s="208" t="s">
        <v>2198</v>
      </c>
    </row>
    <row r="4" spans="1:7" x14ac:dyDescent="0.25">
      <c r="A4" s="108">
        <v>0</v>
      </c>
      <c r="B4" s="108">
        <v>1</v>
      </c>
      <c r="C4" s="146">
        <v>14.01</v>
      </c>
      <c r="D4" s="215" t="s">
        <v>273</v>
      </c>
      <c r="E4" s="215"/>
      <c r="F4" s="27" t="s">
        <v>320</v>
      </c>
      <c r="G4" s="146" t="s">
        <v>321</v>
      </c>
    </row>
    <row r="5" spans="1:7" x14ac:dyDescent="0.25">
      <c r="A5" s="108">
        <v>0</v>
      </c>
      <c r="B5" s="108">
        <v>1</v>
      </c>
      <c r="C5" s="25"/>
      <c r="D5" s="28" t="s">
        <v>322</v>
      </c>
      <c r="E5" s="28" t="s">
        <v>1688</v>
      </c>
      <c r="F5" s="57">
        <f>IF(Artifacts!$E$48="Artifact Provided",1,0)</f>
        <v>0</v>
      </c>
      <c r="G5" s="76" t="s">
        <v>324</v>
      </c>
    </row>
    <row r="6" spans="1:7" x14ac:dyDescent="0.25">
      <c r="A6" s="108">
        <v>0</v>
      </c>
      <c r="B6" s="108">
        <v>1</v>
      </c>
      <c r="C6" s="25"/>
      <c r="D6" s="28" t="s">
        <v>327</v>
      </c>
      <c r="E6" s="28" t="s">
        <v>1689</v>
      </c>
      <c r="F6" s="59">
        <f>DATEDIF(Artifacts!$F$48,GlobalSettings!$C$4,"m")</f>
        <v>1508</v>
      </c>
      <c r="G6" s="77" t="s">
        <v>1104</v>
      </c>
    </row>
    <row r="7" spans="1:7" x14ac:dyDescent="0.25">
      <c r="A7" s="108">
        <v>0</v>
      </c>
      <c r="B7" s="108">
        <v>1</v>
      </c>
      <c r="C7" s="25"/>
      <c r="D7" s="28" t="s">
        <v>330</v>
      </c>
      <c r="E7" s="28" t="s">
        <v>1690</v>
      </c>
      <c r="F7" s="31"/>
      <c r="G7" s="32"/>
    </row>
    <row r="8" spans="1:7" x14ac:dyDescent="0.25">
      <c r="A8" s="108">
        <v>0</v>
      </c>
      <c r="B8" s="108">
        <v>1</v>
      </c>
      <c r="C8" s="25"/>
      <c r="D8" s="28" t="s">
        <v>332</v>
      </c>
      <c r="E8" s="28" t="s">
        <v>1691</v>
      </c>
      <c r="F8" s="31"/>
      <c r="G8" s="32" t="s">
        <v>1692</v>
      </c>
    </row>
    <row r="9" spans="1:7" x14ac:dyDescent="0.25">
      <c r="A9" s="108">
        <v>0</v>
      </c>
      <c r="B9" s="108">
        <v>1</v>
      </c>
      <c r="C9" s="25"/>
      <c r="D9" s="28" t="s">
        <v>335</v>
      </c>
      <c r="E9" s="28" t="s">
        <v>1693</v>
      </c>
      <c r="F9" s="29">
        <f>F7-F8</f>
        <v>0</v>
      </c>
      <c r="G9" s="28" t="s">
        <v>1694</v>
      </c>
    </row>
    <row r="10" spans="1:7" x14ac:dyDescent="0.25">
      <c r="A10" s="108">
        <v>0</v>
      </c>
      <c r="B10" s="108">
        <v>1</v>
      </c>
      <c r="C10" s="25"/>
      <c r="D10" s="28" t="s">
        <v>338</v>
      </c>
      <c r="E10" s="28" t="s">
        <v>1695</v>
      </c>
      <c r="F10" s="31"/>
      <c r="G10" s="32" t="s">
        <v>1696</v>
      </c>
    </row>
    <row r="11" spans="1:7" ht="15.75" thickBot="1" x14ac:dyDescent="0.3">
      <c r="A11" s="108">
        <v>0</v>
      </c>
      <c r="B11" s="108">
        <v>1</v>
      </c>
      <c r="C11" s="25"/>
      <c r="D11" s="28" t="s">
        <v>341</v>
      </c>
      <c r="E11" s="28" t="s">
        <v>1697</v>
      </c>
      <c r="F11" s="29">
        <f>F7-F10</f>
        <v>0</v>
      </c>
      <c r="G11" s="28" t="s">
        <v>1698</v>
      </c>
    </row>
    <row r="12" spans="1:7" ht="15.75" thickBot="1" x14ac:dyDescent="0.3">
      <c r="A12" s="108">
        <v>0</v>
      </c>
      <c r="B12" s="108">
        <v>1</v>
      </c>
      <c r="E12" s="45" t="s">
        <v>1699</v>
      </c>
      <c r="F12" s="46">
        <f>IFERROR(F8/F7,0)</f>
        <v>0</v>
      </c>
      <c r="G12" s="37" t="s">
        <v>380</v>
      </c>
    </row>
    <row r="13" spans="1:7" ht="15.75" thickBot="1" x14ac:dyDescent="0.3">
      <c r="A13" s="108">
        <v>0</v>
      </c>
      <c r="B13" s="108">
        <v>1</v>
      </c>
      <c r="E13" s="45" t="s">
        <v>1700</v>
      </c>
      <c r="F13" s="46">
        <f>IFERROR(F10/F7,0)</f>
        <v>0</v>
      </c>
      <c r="G13" s="37" t="s">
        <v>891</v>
      </c>
    </row>
    <row r="14" spans="1:7" ht="15.75" thickBot="1" x14ac:dyDescent="0.3">
      <c r="A14" s="108">
        <v>0</v>
      </c>
      <c r="B14" s="108">
        <v>1</v>
      </c>
      <c r="E14" s="47" t="s">
        <v>1701</v>
      </c>
      <c r="F14" s="44">
        <f>IF(F5=0,0,IF(F6&lt;=GlobalSettings!$C$8,F13,IF(GlobalSettings!$C$10="No",0,F13*(GlobalSettings!$C$6-0.01))))</f>
        <v>0</v>
      </c>
      <c r="G14" s="37" t="s">
        <v>1702</v>
      </c>
    </row>
    <row r="16" spans="1:7" s="1" customFormat="1" ht="45" customHeight="1" x14ac:dyDescent="0.25">
      <c r="A16" s="108">
        <v>0</v>
      </c>
      <c r="B16" s="108">
        <v>1</v>
      </c>
      <c r="C16" s="112"/>
      <c r="D16" s="112"/>
      <c r="E16" s="152" t="s">
        <v>2080</v>
      </c>
      <c r="F16" s="147" t="s">
        <v>2053</v>
      </c>
      <c r="G16" s="159"/>
    </row>
    <row r="17" spans="1:7" s="1" customFormat="1" x14ac:dyDescent="0.25">
      <c r="A17" s="64"/>
      <c r="B17" s="64"/>
      <c r="C17" s="112"/>
      <c r="D17" s="112"/>
      <c r="E17" s="112"/>
      <c r="F17" s="56"/>
      <c r="G17" s="150"/>
    </row>
    <row r="18" spans="1:7" x14ac:dyDescent="0.25">
      <c r="A18" s="108">
        <v>0</v>
      </c>
      <c r="B18" s="108">
        <v>1</v>
      </c>
      <c r="C18" s="146">
        <v>14.02</v>
      </c>
      <c r="D18" s="215" t="s">
        <v>274</v>
      </c>
      <c r="E18" s="215"/>
      <c r="F18" s="27" t="s">
        <v>320</v>
      </c>
      <c r="G18" s="146" t="s">
        <v>321</v>
      </c>
    </row>
    <row r="19" spans="1:7" ht="30" x14ac:dyDescent="0.25">
      <c r="A19" s="108">
        <v>0</v>
      </c>
      <c r="B19" s="108">
        <v>1</v>
      </c>
      <c r="C19" s="25"/>
      <c r="D19" s="28" t="s">
        <v>322</v>
      </c>
      <c r="E19" s="28" t="s">
        <v>1703</v>
      </c>
      <c r="F19" s="31"/>
      <c r="G19" s="76" t="s">
        <v>402</v>
      </c>
    </row>
    <row r="20" spans="1:7" x14ac:dyDescent="0.25">
      <c r="A20" s="108">
        <v>0</v>
      </c>
      <c r="B20" s="108">
        <v>1</v>
      </c>
      <c r="C20" s="25"/>
      <c r="D20" s="28" t="s">
        <v>327</v>
      </c>
      <c r="E20" s="28" t="s">
        <v>1704</v>
      </c>
      <c r="F20" s="124">
        <f>F7</f>
        <v>0</v>
      </c>
      <c r="G20" s="125"/>
    </row>
    <row r="21" spans="1:7" x14ac:dyDescent="0.25">
      <c r="A21" s="108">
        <v>0</v>
      </c>
      <c r="B21" s="108">
        <v>1</v>
      </c>
      <c r="C21" s="25"/>
      <c r="D21" s="28" t="s">
        <v>330</v>
      </c>
      <c r="E21" s="28" t="s">
        <v>1691</v>
      </c>
      <c r="F21" s="31"/>
      <c r="G21" s="32" t="s">
        <v>1692</v>
      </c>
    </row>
    <row r="22" spans="1:7" x14ac:dyDescent="0.25">
      <c r="A22" s="108">
        <v>0</v>
      </c>
      <c r="B22" s="108">
        <v>1</v>
      </c>
      <c r="C22" s="25"/>
      <c r="D22" s="28" t="s">
        <v>332</v>
      </c>
      <c r="E22" s="28" t="s">
        <v>1693</v>
      </c>
      <c r="F22" s="29">
        <f>F20-F21</f>
        <v>0</v>
      </c>
      <c r="G22" s="28" t="s">
        <v>1694</v>
      </c>
    </row>
    <row r="23" spans="1:7" x14ac:dyDescent="0.25">
      <c r="A23" s="108">
        <v>0</v>
      </c>
      <c r="B23" s="108">
        <v>1</v>
      </c>
      <c r="C23" s="25"/>
      <c r="D23" s="28" t="s">
        <v>335</v>
      </c>
      <c r="E23" s="28" t="s">
        <v>1695</v>
      </c>
      <c r="F23" s="31"/>
      <c r="G23" s="32" t="s">
        <v>1696</v>
      </c>
    </row>
    <row r="24" spans="1:7" ht="15.75" thickBot="1" x14ac:dyDescent="0.3">
      <c r="A24" s="108">
        <v>0</v>
      </c>
      <c r="B24" s="108">
        <v>1</v>
      </c>
      <c r="C24" s="25"/>
      <c r="D24" s="28" t="s">
        <v>338</v>
      </c>
      <c r="E24" s="28" t="s">
        <v>1697</v>
      </c>
      <c r="F24" s="29">
        <f>F20-F23</f>
        <v>0</v>
      </c>
      <c r="G24" s="28" t="s">
        <v>1705</v>
      </c>
    </row>
    <row r="25" spans="1:7" ht="15.75" thickBot="1" x14ac:dyDescent="0.3">
      <c r="A25" s="108">
        <v>0</v>
      </c>
      <c r="B25" s="108">
        <v>1</v>
      </c>
      <c r="E25" s="45" t="s">
        <v>1699</v>
      </c>
      <c r="F25" s="46">
        <f>IFERROR(F21/F20,0)</f>
        <v>0</v>
      </c>
      <c r="G25" s="37" t="s">
        <v>348</v>
      </c>
    </row>
    <row r="26" spans="1:7" ht="15.75" thickBot="1" x14ac:dyDescent="0.3">
      <c r="A26" s="108">
        <v>0</v>
      </c>
      <c r="B26" s="108">
        <v>1</v>
      </c>
      <c r="E26" s="45" t="s">
        <v>1700</v>
      </c>
      <c r="F26" s="46">
        <f>IFERROR(F23/F20,0)</f>
        <v>0</v>
      </c>
      <c r="G26" s="37" t="s">
        <v>844</v>
      </c>
    </row>
    <row r="27" spans="1:7" ht="15.75" thickBot="1" x14ac:dyDescent="0.3">
      <c r="A27" s="108">
        <v>0</v>
      </c>
      <c r="B27" s="108">
        <v>1</v>
      </c>
      <c r="E27" s="47" t="s">
        <v>1706</v>
      </c>
      <c r="F27" s="44">
        <f>IF(F19=0,0,F26)</f>
        <v>0</v>
      </c>
      <c r="G27" s="37"/>
    </row>
    <row r="29" spans="1:7" s="1" customFormat="1" ht="45" customHeight="1" x14ac:dyDescent="0.25">
      <c r="A29" s="108">
        <v>0</v>
      </c>
      <c r="B29" s="108">
        <v>1</v>
      </c>
      <c r="C29" s="112"/>
      <c r="D29" s="112"/>
      <c r="E29" s="152" t="s">
        <v>2080</v>
      </c>
      <c r="F29" s="147" t="s">
        <v>2053</v>
      </c>
      <c r="G29" s="159"/>
    </row>
    <row r="30" spans="1:7" s="1" customFormat="1" x14ac:dyDescent="0.25">
      <c r="A30" s="64"/>
      <c r="B30" s="64"/>
      <c r="C30" s="112"/>
      <c r="D30" s="112"/>
      <c r="E30" s="112"/>
      <c r="F30" s="56"/>
      <c r="G30" s="150"/>
    </row>
    <row r="31" spans="1:7" x14ac:dyDescent="0.25">
      <c r="A31" s="108">
        <v>0</v>
      </c>
      <c r="B31" s="108">
        <v>1</v>
      </c>
      <c r="C31" s="146">
        <v>14.03</v>
      </c>
      <c r="D31" s="215" t="s">
        <v>275</v>
      </c>
      <c r="E31" s="215"/>
      <c r="F31" s="27" t="s">
        <v>320</v>
      </c>
      <c r="G31" s="146" t="s">
        <v>321</v>
      </c>
    </row>
    <row r="32" spans="1:7" ht="30" x14ac:dyDescent="0.25">
      <c r="A32" s="108">
        <v>0</v>
      </c>
      <c r="B32" s="108">
        <v>1</v>
      </c>
      <c r="C32" s="25"/>
      <c r="D32" s="28" t="s">
        <v>322</v>
      </c>
      <c r="E32" s="28" t="s">
        <v>1707</v>
      </c>
      <c r="F32" s="31"/>
      <c r="G32" s="76" t="s">
        <v>402</v>
      </c>
    </row>
    <row r="33" spans="1:7" x14ac:dyDescent="0.25">
      <c r="A33" s="108">
        <v>0</v>
      </c>
      <c r="B33" s="108">
        <v>1</v>
      </c>
      <c r="C33" s="25"/>
      <c r="D33" s="28" t="s">
        <v>327</v>
      </c>
      <c r="E33" s="28" t="s">
        <v>1704</v>
      </c>
      <c r="F33" s="124">
        <f>F7</f>
        <v>0</v>
      </c>
      <c r="G33" s="125"/>
    </row>
    <row r="34" spans="1:7" x14ac:dyDescent="0.25">
      <c r="A34" s="108">
        <v>0</v>
      </c>
      <c r="B34" s="108">
        <v>1</v>
      </c>
      <c r="C34" s="25"/>
      <c r="D34" s="28" t="s">
        <v>330</v>
      </c>
      <c r="E34" s="28" t="s">
        <v>1691</v>
      </c>
      <c r="F34" s="31"/>
      <c r="G34" s="32" t="s">
        <v>1692</v>
      </c>
    </row>
    <row r="35" spans="1:7" x14ac:dyDescent="0.25">
      <c r="A35" s="108">
        <v>0</v>
      </c>
      <c r="B35" s="108">
        <v>1</v>
      </c>
      <c r="C35" s="25"/>
      <c r="D35" s="28" t="s">
        <v>332</v>
      </c>
      <c r="E35" s="28" t="s">
        <v>1693</v>
      </c>
      <c r="F35" s="29">
        <f>F33-F34</f>
        <v>0</v>
      </c>
      <c r="G35" s="28" t="s">
        <v>1694</v>
      </c>
    </row>
    <row r="36" spans="1:7" x14ac:dyDescent="0.25">
      <c r="A36" s="108">
        <v>0</v>
      </c>
      <c r="B36" s="108">
        <v>1</v>
      </c>
      <c r="C36" s="25"/>
      <c r="D36" s="28" t="s">
        <v>335</v>
      </c>
      <c r="E36" s="28" t="s">
        <v>1695</v>
      </c>
      <c r="F36" s="31"/>
      <c r="G36" s="32" t="s">
        <v>1696</v>
      </c>
    </row>
    <row r="37" spans="1:7" ht="15.75" thickBot="1" x14ac:dyDescent="0.3">
      <c r="A37" s="108">
        <v>0</v>
      </c>
      <c r="B37" s="108">
        <v>1</v>
      </c>
      <c r="C37" s="25"/>
      <c r="D37" s="28" t="s">
        <v>338</v>
      </c>
      <c r="E37" s="28" t="s">
        <v>1697</v>
      </c>
      <c r="F37" s="29">
        <f>F33-F36</f>
        <v>0</v>
      </c>
      <c r="G37" s="28" t="s">
        <v>1705</v>
      </c>
    </row>
    <row r="38" spans="1:7" ht="15.75" thickBot="1" x14ac:dyDescent="0.3">
      <c r="A38" s="108">
        <v>0</v>
      </c>
      <c r="B38" s="108">
        <v>1</v>
      </c>
      <c r="E38" s="45" t="s">
        <v>1699</v>
      </c>
      <c r="F38" s="46">
        <f>IFERROR(F34/F33,0)</f>
        <v>0</v>
      </c>
      <c r="G38" s="37" t="s">
        <v>348</v>
      </c>
    </row>
    <row r="39" spans="1:7" ht="15.75" thickBot="1" x14ac:dyDescent="0.3">
      <c r="A39" s="108">
        <v>0</v>
      </c>
      <c r="B39" s="108">
        <v>1</v>
      </c>
      <c r="E39" s="45" t="s">
        <v>1700</v>
      </c>
      <c r="F39" s="46">
        <f>IFERROR(F36/F33,0)</f>
        <v>0</v>
      </c>
      <c r="G39" s="37" t="s">
        <v>844</v>
      </c>
    </row>
    <row r="40" spans="1:7" ht="15.75" thickBot="1" x14ac:dyDescent="0.3">
      <c r="A40" s="108">
        <v>0</v>
      </c>
      <c r="B40" s="108">
        <v>1</v>
      </c>
      <c r="E40" s="47" t="s">
        <v>1708</v>
      </c>
      <c r="F40" s="44">
        <f>IF(F32=0,0,F39)</f>
        <v>0</v>
      </c>
      <c r="G40" s="37"/>
    </row>
    <row r="42" spans="1:7" s="1" customFormat="1" ht="45" customHeight="1" x14ac:dyDescent="0.25">
      <c r="A42" s="108">
        <v>0</v>
      </c>
      <c r="B42" s="108">
        <v>1</v>
      </c>
      <c r="C42" s="112"/>
      <c r="D42" s="112"/>
      <c r="E42" s="152" t="s">
        <v>2080</v>
      </c>
      <c r="F42" s="147" t="s">
        <v>2053</v>
      </c>
      <c r="G42" s="159"/>
    </row>
    <row r="43" spans="1:7" s="1" customFormat="1" x14ac:dyDescent="0.25">
      <c r="A43" s="64"/>
      <c r="B43" s="64"/>
      <c r="C43" s="112"/>
      <c r="D43" s="112"/>
      <c r="E43" s="112"/>
      <c r="F43" s="56"/>
      <c r="G43" s="150"/>
    </row>
    <row r="44" spans="1:7" x14ac:dyDescent="0.25">
      <c r="A44" s="108">
        <v>0</v>
      </c>
      <c r="B44" s="108">
        <v>1</v>
      </c>
      <c r="C44" s="146">
        <v>14.04</v>
      </c>
      <c r="D44" s="215" t="s">
        <v>276</v>
      </c>
      <c r="E44" s="215"/>
      <c r="F44" s="27" t="s">
        <v>320</v>
      </c>
      <c r="G44" s="146" t="s">
        <v>321</v>
      </c>
    </row>
    <row r="45" spans="1:7" ht="30" x14ac:dyDescent="0.25">
      <c r="A45" s="108">
        <v>0</v>
      </c>
      <c r="B45" s="108">
        <v>1</v>
      </c>
      <c r="C45" s="25"/>
      <c r="D45" s="28" t="s">
        <v>322</v>
      </c>
      <c r="E45" s="28" t="s">
        <v>1709</v>
      </c>
      <c r="F45" s="31"/>
      <c r="G45" s="76" t="s">
        <v>402</v>
      </c>
    </row>
    <row r="46" spans="1:7" x14ac:dyDescent="0.25">
      <c r="A46" s="108">
        <v>0</v>
      </c>
      <c r="B46" s="108">
        <v>1</v>
      </c>
      <c r="C46" s="25"/>
      <c r="D46" s="28" t="s">
        <v>327</v>
      </c>
      <c r="E46" s="28" t="s">
        <v>1704</v>
      </c>
      <c r="F46" s="124">
        <f>F20</f>
        <v>0</v>
      </c>
      <c r="G46" s="125"/>
    </row>
    <row r="47" spans="1:7" x14ac:dyDescent="0.25">
      <c r="A47" s="108">
        <v>0</v>
      </c>
      <c r="B47" s="108">
        <v>1</v>
      </c>
      <c r="C47" s="25"/>
      <c r="D47" s="28" t="s">
        <v>330</v>
      </c>
      <c r="E47" s="28" t="s">
        <v>1691</v>
      </c>
      <c r="F47" s="31"/>
      <c r="G47" s="32" t="s">
        <v>1692</v>
      </c>
    </row>
    <row r="48" spans="1:7" x14ac:dyDescent="0.25">
      <c r="A48" s="108">
        <v>0</v>
      </c>
      <c r="B48" s="108">
        <v>1</v>
      </c>
      <c r="C48" s="25"/>
      <c r="D48" s="28" t="s">
        <v>332</v>
      </c>
      <c r="E48" s="28" t="s">
        <v>1693</v>
      </c>
      <c r="F48" s="29">
        <f>F46-F47</f>
        <v>0</v>
      </c>
      <c r="G48" s="28" t="s">
        <v>1694</v>
      </c>
    </row>
    <row r="49" spans="1:7" x14ac:dyDescent="0.25">
      <c r="A49" s="108">
        <v>0</v>
      </c>
      <c r="B49" s="108">
        <v>1</v>
      </c>
      <c r="C49" s="25"/>
      <c r="D49" s="28" t="s">
        <v>335</v>
      </c>
      <c r="E49" s="28" t="s">
        <v>1695</v>
      </c>
      <c r="F49" s="31"/>
      <c r="G49" s="32" t="s">
        <v>1696</v>
      </c>
    </row>
    <row r="50" spans="1:7" ht="15.75" thickBot="1" x14ac:dyDescent="0.3">
      <c r="A50" s="108">
        <v>0</v>
      </c>
      <c r="B50" s="108">
        <v>1</v>
      </c>
      <c r="C50" s="25"/>
      <c r="D50" s="28" t="s">
        <v>338</v>
      </c>
      <c r="E50" s="28" t="s">
        <v>1697</v>
      </c>
      <c r="F50" s="29">
        <f>F46-F49</f>
        <v>0</v>
      </c>
      <c r="G50" s="28" t="s">
        <v>1705</v>
      </c>
    </row>
    <row r="51" spans="1:7" ht="15.75" thickBot="1" x14ac:dyDescent="0.3">
      <c r="A51" s="108">
        <v>0</v>
      </c>
      <c r="B51" s="108">
        <v>1</v>
      </c>
      <c r="E51" s="45" t="s">
        <v>1699</v>
      </c>
      <c r="F51" s="46">
        <f>IFERROR(F47/F46,0)</f>
        <v>0</v>
      </c>
      <c r="G51" s="37" t="s">
        <v>348</v>
      </c>
    </row>
    <row r="52" spans="1:7" ht="15.75" thickBot="1" x14ac:dyDescent="0.3">
      <c r="A52" s="108">
        <v>0</v>
      </c>
      <c r="B52" s="108">
        <v>1</v>
      </c>
      <c r="E52" s="45" t="s">
        <v>1700</v>
      </c>
      <c r="F52" s="46">
        <f>IFERROR(F49/F46,0)</f>
        <v>0</v>
      </c>
      <c r="G52" s="37" t="s">
        <v>844</v>
      </c>
    </row>
    <row r="53" spans="1:7" ht="15.75" thickBot="1" x14ac:dyDescent="0.3">
      <c r="A53" s="108">
        <v>0</v>
      </c>
      <c r="B53" s="108">
        <v>1</v>
      </c>
      <c r="E53" s="47" t="s">
        <v>1710</v>
      </c>
      <c r="F53" s="44">
        <f>IF(F45=0,0,F52)</f>
        <v>0</v>
      </c>
      <c r="G53" s="37"/>
    </row>
    <row r="55" spans="1:7" s="1" customFormat="1" ht="45" customHeight="1" x14ac:dyDescent="0.25">
      <c r="A55" s="108">
        <v>0</v>
      </c>
      <c r="B55" s="108">
        <v>1</v>
      </c>
      <c r="C55" s="112"/>
      <c r="D55" s="112"/>
      <c r="E55" s="152" t="s">
        <v>2080</v>
      </c>
      <c r="F55" s="147" t="s">
        <v>2053</v>
      </c>
      <c r="G55" s="159"/>
    </row>
    <row r="56" spans="1:7" s="1" customFormat="1" x14ac:dyDescent="0.25">
      <c r="A56" s="64"/>
      <c r="B56" s="64"/>
      <c r="C56" s="112"/>
      <c r="D56" s="112"/>
      <c r="E56" s="112"/>
      <c r="F56" s="56"/>
      <c r="G56" s="150"/>
    </row>
    <row r="57" spans="1:7" x14ac:dyDescent="0.25">
      <c r="A57" s="108">
        <v>0</v>
      </c>
      <c r="B57" s="108">
        <v>1</v>
      </c>
      <c r="C57" s="146">
        <v>14.05</v>
      </c>
      <c r="D57" s="215" t="s">
        <v>277</v>
      </c>
      <c r="E57" s="215"/>
      <c r="F57" s="27" t="s">
        <v>320</v>
      </c>
      <c r="G57" s="146" t="s">
        <v>321</v>
      </c>
    </row>
    <row r="58" spans="1:7" ht="30" x14ac:dyDescent="0.25">
      <c r="A58" s="108">
        <v>0</v>
      </c>
      <c r="B58" s="108">
        <v>1</v>
      </c>
      <c r="C58" s="25"/>
      <c r="D58" s="28" t="s">
        <v>322</v>
      </c>
      <c r="E58" s="28" t="s">
        <v>1711</v>
      </c>
      <c r="F58" s="31"/>
      <c r="G58" s="76" t="s">
        <v>402</v>
      </c>
    </row>
    <row r="59" spans="1:7" x14ac:dyDescent="0.25">
      <c r="A59" s="108">
        <v>0</v>
      </c>
      <c r="B59" s="108">
        <v>1</v>
      </c>
      <c r="C59" s="25"/>
      <c r="D59" s="28" t="s">
        <v>327</v>
      </c>
      <c r="E59" s="28" t="s">
        <v>1704</v>
      </c>
      <c r="F59" s="124">
        <f>F33</f>
        <v>0</v>
      </c>
      <c r="G59" s="125"/>
    </row>
    <row r="60" spans="1:7" x14ac:dyDescent="0.25">
      <c r="A60" s="108">
        <v>0</v>
      </c>
      <c r="B60" s="108">
        <v>1</v>
      </c>
      <c r="C60" s="25"/>
      <c r="D60" s="28" t="s">
        <v>330</v>
      </c>
      <c r="E60" s="28" t="s">
        <v>1691</v>
      </c>
      <c r="F60" s="31"/>
      <c r="G60" s="32" t="s">
        <v>1692</v>
      </c>
    </row>
    <row r="61" spans="1:7" x14ac:dyDescent="0.25">
      <c r="A61" s="108">
        <v>0</v>
      </c>
      <c r="B61" s="108">
        <v>1</v>
      </c>
      <c r="C61" s="25"/>
      <c r="D61" s="28" t="s">
        <v>332</v>
      </c>
      <c r="E61" s="28" t="s">
        <v>1693</v>
      </c>
      <c r="F61" s="29">
        <f>F59-F60</f>
        <v>0</v>
      </c>
      <c r="G61" s="28" t="s">
        <v>1694</v>
      </c>
    </row>
    <row r="62" spans="1:7" x14ac:dyDescent="0.25">
      <c r="A62" s="108">
        <v>0</v>
      </c>
      <c r="B62" s="108">
        <v>1</v>
      </c>
      <c r="C62" s="25"/>
      <c r="D62" s="28" t="s">
        <v>335</v>
      </c>
      <c r="E62" s="28" t="s">
        <v>1695</v>
      </c>
      <c r="F62" s="31"/>
      <c r="G62" s="32" t="s">
        <v>1696</v>
      </c>
    </row>
    <row r="63" spans="1:7" ht="15.75" thickBot="1" x14ac:dyDescent="0.3">
      <c r="A63" s="108">
        <v>0</v>
      </c>
      <c r="B63" s="108">
        <v>1</v>
      </c>
      <c r="C63" s="25"/>
      <c r="D63" s="28" t="s">
        <v>338</v>
      </c>
      <c r="E63" s="28" t="s">
        <v>1697</v>
      </c>
      <c r="F63" s="29">
        <f>F59-F62</f>
        <v>0</v>
      </c>
      <c r="G63" s="28" t="s">
        <v>1705</v>
      </c>
    </row>
    <row r="64" spans="1:7" ht="15.75" thickBot="1" x14ac:dyDescent="0.3">
      <c r="A64" s="108">
        <v>0</v>
      </c>
      <c r="B64" s="108">
        <v>1</v>
      </c>
      <c r="E64" s="45" t="s">
        <v>1699</v>
      </c>
      <c r="F64" s="46">
        <f>IFERROR(F60/F59,0)</f>
        <v>0</v>
      </c>
      <c r="G64" s="37" t="s">
        <v>348</v>
      </c>
    </row>
    <row r="65" spans="1:7" ht="15.75" thickBot="1" x14ac:dyDescent="0.3">
      <c r="A65" s="108">
        <v>0</v>
      </c>
      <c r="B65" s="108">
        <v>1</v>
      </c>
      <c r="E65" s="45" t="s">
        <v>1700</v>
      </c>
      <c r="F65" s="46">
        <f>IFERROR(F62/F59,0)</f>
        <v>0</v>
      </c>
      <c r="G65" s="37" t="s">
        <v>844</v>
      </c>
    </row>
    <row r="66" spans="1:7" ht="15.75" thickBot="1" x14ac:dyDescent="0.3">
      <c r="A66" s="108">
        <v>0</v>
      </c>
      <c r="B66" s="108">
        <v>1</v>
      </c>
      <c r="E66" s="47" t="s">
        <v>1712</v>
      </c>
      <c r="F66" s="44">
        <f>IF(F58=0,0,F65)</f>
        <v>0</v>
      </c>
      <c r="G66" s="37"/>
    </row>
    <row r="68" spans="1:7" s="1" customFormat="1" ht="45" customHeight="1" x14ac:dyDescent="0.25">
      <c r="A68" s="108">
        <v>0</v>
      </c>
      <c r="B68" s="108">
        <v>1</v>
      </c>
      <c r="C68" s="112"/>
      <c r="D68" s="112"/>
      <c r="E68" s="152" t="s">
        <v>2080</v>
      </c>
      <c r="F68" s="147" t="s">
        <v>2053</v>
      </c>
      <c r="G68" s="159"/>
    </row>
    <row r="69" spans="1:7" s="1" customFormat="1" x14ac:dyDescent="0.25">
      <c r="A69" s="64"/>
      <c r="B69" s="64"/>
      <c r="C69" s="112"/>
      <c r="D69" s="112"/>
      <c r="E69" s="112"/>
      <c r="F69" s="56"/>
      <c r="G69" s="150"/>
    </row>
    <row r="70" spans="1:7" x14ac:dyDescent="0.25">
      <c r="A70" s="108">
        <v>0</v>
      </c>
      <c r="B70" s="108">
        <v>1</v>
      </c>
      <c r="C70" s="146">
        <v>14.06</v>
      </c>
      <c r="D70" s="215" t="s">
        <v>278</v>
      </c>
      <c r="E70" s="215"/>
      <c r="F70" s="27" t="s">
        <v>320</v>
      </c>
      <c r="G70" s="146" t="s">
        <v>321</v>
      </c>
    </row>
    <row r="71" spans="1:7" ht="30" x14ac:dyDescent="0.25">
      <c r="A71" s="108">
        <v>0</v>
      </c>
      <c r="B71" s="108">
        <v>1</v>
      </c>
      <c r="C71" s="25"/>
      <c r="D71" s="28" t="s">
        <v>322</v>
      </c>
      <c r="E71" s="28" t="s">
        <v>1713</v>
      </c>
      <c r="F71" s="31"/>
      <c r="G71" s="76" t="s">
        <v>402</v>
      </c>
    </row>
    <row r="72" spans="1:7" x14ac:dyDescent="0.25">
      <c r="A72" s="108">
        <v>0</v>
      </c>
      <c r="B72" s="108">
        <v>1</v>
      </c>
      <c r="C72" s="25"/>
      <c r="D72" s="28" t="s">
        <v>327</v>
      </c>
      <c r="E72" s="28" t="s">
        <v>1704</v>
      </c>
      <c r="F72" s="124">
        <f>F46</f>
        <v>0</v>
      </c>
      <c r="G72" s="125"/>
    </row>
    <row r="73" spans="1:7" x14ac:dyDescent="0.25">
      <c r="A73" s="108">
        <v>0</v>
      </c>
      <c r="B73" s="108">
        <v>1</v>
      </c>
      <c r="C73" s="25"/>
      <c r="D73" s="28" t="s">
        <v>330</v>
      </c>
      <c r="E73" s="28" t="s">
        <v>1691</v>
      </c>
      <c r="F73" s="31"/>
      <c r="G73" s="32" t="s">
        <v>1692</v>
      </c>
    </row>
    <row r="74" spans="1:7" x14ac:dyDescent="0.25">
      <c r="A74" s="108">
        <v>0</v>
      </c>
      <c r="B74" s="108">
        <v>1</v>
      </c>
      <c r="C74" s="25"/>
      <c r="D74" s="28" t="s">
        <v>332</v>
      </c>
      <c r="E74" s="28" t="s">
        <v>1693</v>
      </c>
      <c r="F74" s="29">
        <f>F72-F73</f>
        <v>0</v>
      </c>
      <c r="G74" s="28" t="s">
        <v>1694</v>
      </c>
    </row>
    <row r="75" spans="1:7" x14ac:dyDescent="0.25">
      <c r="A75" s="108">
        <v>0</v>
      </c>
      <c r="B75" s="108">
        <v>1</v>
      </c>
      <c r="C75" s="25"/>
      <c r="D75" s="28" t="s">
        <v>335</v>
      </c>
      <c r="E75" s="28" t="s">
        <v>1695</v>
      </c>
      <c r="F75" s="31"/>
      <c r="G75" s="32" t="s">
        <v>1696</v>
      </c>
    </row>
    <row r="76" spans="1:7" ht="15.75" thickBot="1" x14ac:dyDescent="0.3">
      <c r="A76" s="108">
        <v>0</v>
      </c>
      <c r="B76" s="108">
        <v>1</v>
      </c>
      <c r="C76" s="25"/>
      <c r="D76" s="28" t="s">
        <v>338</v>
      </c>
      <c r="E76" s="28" t="s">
        <v>1697</v>
      </c>
      <c r="F76" s="29">
        <f>F72-F75</f>
        <v>0</v>
      </c>
      <c r="G76" s="28" t="s">
        <v>1705</v>
      </c>
    </row>
    <row r="77" spans="1:7" ht="15.75" thickBot="1" x14ac:dyDescent="0.3">
      <c r="A77" s="108">
        <v>0</v>
      </c>
      <c r="B77" s="108">
        <v>1</v>
      </c>
      <c r="E77" s="45" t="s">
        <v>1699</v>
      </c>
      <c r="F77" s="46">
        <f>IFERROR(F73/F72,0)</f>
        <v>0</v>
      </c>
      <c r="G77" s="37" t="s">
        <v>348</v>
      </c>
    </row>
    <row r="78" spans="1:7" ht="15.75" thickBot="1" x14ac:dyDescent="0.3">
      <c r="A78" s="108">
        <v>0</v>
      </c>
      <c r="B78" s="108">
        <v>1</v>
      </c>
      <c r="E78" s="45" t="s">
        <v>1700</v>
      </c>
      <c r="F78" s="46">
        <f>IFERROR(F75/F72,0)</f>
        <v>0</v>
      </c>
      <c r="G78" s="37" t="s">
        <v>844</v>
      </c>
    </row>
    <row r="79" spans="1:7" ht="15.75" thickBot="1" x14ac:dyDescent="0.3">
      <c r="A79" s="108">
        <v>0</v>
      </c>
      <c r="B79" s="108">
        <v>1</v>
      </c>
      <c r="E79" s="47" t="s">
        <v>1714</v>
      </c>
      <c r="F79" s="44">
        <f>IF(F71=0,0,F78)</f>
        <v>0</v>
      </c>
      <c r="G79" s="37"/>
    </row>
    <row r="81" spans="1:7" s="1" customFormat="1" ht="45" customHeight="1" x14ac:dyDescent="0.25">
      <c r="A81" s="108">
        <v>0</v>
      </c>
      <c r="B81" s="108">
        <v>1</v>
      </c>
      <c r="C81" s="112"/>
      <c r="D81" s="112"/>
      <c r="E81" s="152" t="s">
        <v>2080</v>
      </c>
      <c r="F81" s="147" t="s">
        <v>2053</v>
      </c>
      <c r="G81" s="159"/>
    </row>
    <row r="82" spans="1:7" s="1" customFormat="1" x14ac:dyDescent="0.25">
      <c r="A82" s="64"/>
      <c r="B82" s="64"/>
      <c r="C82" s="112"/>
      <c r="D82" s="112"/>
      <c r="E82" s="112"/>
      <c r="F82" s="56"/>
      <c r="G82" s="150"/>
    </row>
    <row r="83" spans="1:7" x14ac:dyDescent="0.25">
      <c r="A83" s="108">
        <v>9</v>
      </c>
      <c r="B83" s="108">
        <v>1</v>
      </c>
      <c r="C83" s="146">
        <v>14.07</v>
      </c>
      <c r="D83" s="215" t="s">
        <v>279</v>
      </c>
      <c r="E83" s="215"/>
      <c r="F83" s="27" t="s">
        <v>320</v>
      </c>
      <c r="G83" s="146" t="s">
        <v>321</v>
      </c>
    </row>
    <row r="84" spans="1:7" ht="30" x14ac:dyDescent="0.25">
      <c r="A84" s="108">
        <v>9</v>
      </c>
      <c r="B84" s="108">
        <v>1</v>
      </c>
      <c r="C84" s="25"/>
      <c r="D84" s="28" t="s">
        <v>322</v>
      </c>
      <c r="E84" s="28" t="s">
        <v>1715</v>
      </c>
      <c r="F84" s="31"/>
      <c r="G84" s="76" t="s">
        <v>402</v>
      </c>
    </row>
    <row r="85" spans="1:7" x14ac:dyDescent="0.25">
      <c r="A85" s="108">
        <v>9</v>
      </c>
      <c r="B85" s="108">
        <v>1</v>
      </c>
      <c r="C85" s="25"/>
      <c r="D85" s="28" t="s">
        <v>327</v>
      </c>
      <c r="E85" s="28" t="s">
        <v>1704</v>
      </c>
      <c r="F85" s="124">
        <f>F59</f>
        <v>0</v>
      </c>
      <c r="G85" s="125"/>
    </row>
    <row r="86" spans="1:7" x14ac:dyDescent="0.25">
      <c r="A86" s="108">
        <v>9</v>
      </c>
      <c r="B86" s="108">
        <v>1</v>
      </c>
      <c r="C86" s="25"/>
      <c r="D86" s="28" t="s">
        <v>330</v>
      </c>
      <c r="E86" s="28" t="s">
        <v>1691</v>
      </c>
      <c r="F86" s="31"/>
      <c r="G86" s="32" t="s">
        <v>1692</v>
      </c>
    </row>
    <row r="87" spans="1:7" x14ac:dyDescent="0.25">
      <c r="A87" s="108">
        <v>9</v>
      </c>
      <c r="B87" s="108">
        <v>1</v>
      </c>
      <c r="C87" s="25"/>
      <c r="D87" s="28" t="s">
        <v>332</v>
      </c>
      <c r="E87" s="28" t="s">
        <v>1693</v>
      </c>
      <c r="F87" s="29">
        <f>F85-F86</f>
        <v>0</v>
      </c>
      <c r="G87" s="28" t="s">
        <v>1694</v>
      </c>
    </row>
    <row r="88" spans="1:7" x14ac:dyDescent="0.25">
      <c r="A88" s="108">
        <v>9</v>
      </c>
      <c r="B88" s="108">
        <v>1</v>
      </c>
      <c r="C88" s="25"/>
      <c r="D88" s="28" t="s">
        <v>335</v>
      </c>
      <c r="E88" s="28" t="s">
        <v>1695</v>
      </c>
      <c r="F88" s="31"/>
      <c r="G88" s="32" t="s">
        <v>1696</v>
      </c>
    </row>
    <row r="89" spans="1:7" ht="15.75" thickBot="1" x14ac:dyDescent="0.3">
      <c r="A89" s="108">
        <v>9</v>
      </c>
      <c r="B89" s="108">
        <v>1</v>
      </c>
      <c r="C89" s="25"/>
      <c r="D89" s="28" t="s">
        <v>338</v>
      </c>
      <c r="E89" s="28" t="s">
        <v>1697</v>
      </c>
      <c r="F89" s="29">
        <f>F85-F88</f>
        <v>0</v>
      </c>
      <c r="G89" s="28" t="s">
        <v>1705</v>
      </c>
    </row>
    <row r="90" spans="1:7" ht="15.75" thickBot="1" x14ac:dyDescent="0.3">
      <c r="A90" s="108">
        <v>9</v>
      </c>
      <c r="B90" s="108">
        <v>1</v>
      </c>
      <c r="E90" s="45" t="s">
        <v>1699</v>
      </c>
      <c r="F90" s="46">
        <f>IFERROR(F86/F85,0)</f>
        <v>0</v>
      </c>
      <c r="G90" s="37" t="s">
        <v>348</v>
      </c>
    </row>
    <row r="91" spans="1:7" ht="15.75" thickBot="1" x14ac:dyDescent="0.3">
      <c r="A91" s="108">
        <v>9</v>
      </c>
      <c r="B91" s="108">
        <v>1</v>
      </c>
      <c r="E91" s="45" t="s">
        <v>1700</v>
      </c>
      <c r="F91" s="46">
        <f>IFERROR(F88/F85,0)</f>
        <v>0</v>
      </c>
      <c r="G91" s="37" t="s">
        <v>844</v>
      </c>
    </row>
    <row r="92" spans="1:7" ht="15.75" thickBot="1" x14ac:dyDescent="0.3">
      <c r="A92" s="108">
        <v>9</v>
      </c>
      <c r="B92" s="108">
        <v>1</v>
      </c>
      <c r="E92" s="47" t="s">
        <v>1716</v>
      </c>
      <c r="F92" s="44">
        <f>IF(F84=0,0,F91)</f>
        <v>0</v>
      </c>
      <c r="G92" s="37"/>
    </row>
    <row r="94" spans="1:7" s="1" customFormat="1" ht="45" customHeight="1" x14ac:dyDescent="0.25">
      <c r="A94" s="108">
        <v>9</v>
      </c>
      <c r="B94" s="108">
        <v>1</v>
      </c>
      <c r="C94" s="112"/>
      <c r="D94" s="112"/>
      <c r="E94" s="152" t="s">
        <v>2080</v>
      </c>
      <c r="F94" s="147" t="s">
        <v>2053</v>
      </c>
      <c r="G94" s="159"/>
    </row>
    <row r="95" spans="1:7" s="1" customFormat="1" x14ac:dyDescent="0.25">
      <c r="A95" s="64"/>
      <c r="B95" s="64"/>
      <c r="C95" s="112"/>
      <c r="D95" s="112"/>
      <c r="E95" s="112"/>
      <c r="F95" s="56"/>
      <c r="G95" s="150"/>
    </row>
    <row r="96" spans="1:7" x14ac:dyDescent="0.25">
      <c r="A96" s="108">
        <v>0</v>
      </c>
      <c r="B96" s="108">
        <v>1</v>
      </c>
      <c r="C96" s="146">
        <v>14.08</v>
      </c>
      <c r="D96" s="215" t="s">
        <v>280</v>
      </c>
      <c r="E96" s="215"/>
      <c r="F96" s="27" t="s">
        <v>320</v>
      </c>
      <c r="G96" s="146" t="s">
        <v>321</v>
      </c>
    </row>
    <row r="97" spans="1:7" ht="30" x14ac:dyDescent="0.25">
      <c r="A97" s="108">
        <v>0</v>
      </c>
      <c r="B97" s="108">
        <v>1</v>
      </c>
      <c r="C97" s="25"/>
      <c r="D97" s="28" t="s">
        <v>322</v>
      </c>
      <c r="E97" s="28" t="s">
        <v>1717</v>
      </c>
      <c r="F97" s="31"/>
      <c r="G97" s="76" t="s">
        <v>402</v>
      </c>
    </row>
    <row r="98" spans="1:7" x14ac:dyDescent="0.25">
      <c r="A98" s="108">
        <v>0</v>
      </c>
      <c r="B98" s="108">
        <v>1</v>
      </c>
      <c r="C98" s="25"/>
      <c r="D98" s="28" t="s">
        <v>327</v>
      </c>
      <c r="E98" s="28" t="s">
        <v>1704</v>
      </c>
      <c r="F98" s="124">
        <f>F72</f>
        <v>0</v>
      </c>
      <c r="G98" s="125"/>
    </row>
    <row r="99" spans="1:7" x14ac:dyDescent="0.25">
      <c r="A99" s="108">
        <v>0</v>
      </c>
      <c r="B99" s="108">
        <v>1</v>
      </c>
      <c r="C99" s="25"/>
      <c r="D99" s="28" t="s">
        <v>330</v>
      </c>
      <c r="E99" s="28" t="s">
        <v>1691</v>
      </c>
      <c r="F99" s="31"/>
      <c r="G99" s="32" t="s">
        <v>1692</v>
      </c>
    </row>
    <row r="100" spans="1:7" x14ac:dyDescent="0.25">
      <c r="A100" s="108">
        <v>0</v>
      </c>
      <c r="B100" s="108">
        <v>1</v>
      </c>
      <c r="C100" s="25"/>
      <c r="D100" s="28" t="s">
        <v>332</v>
      </c>
      <c r="E100" s="28" t="s">
        <v>1693</v>
      </c>
      <c r="F100" s="29">
        <f>F98-F99</f>
        <v>0</v>
      </c>
      <c r="G100" s="28" t="s">
        <v>1694</v>
      </c>
    </row>
    <row r="101" spans="1:7" x14ac:dyDescent="0.25">
      <c r="A101" s="108">
        <v>0</v>
      </c>
      <c r="B101" s="108">
        <v>1</v>
      </c>
      <c r="C101" s="25"/>
      <c r="D101" s="28" t="s">
        <v>335</v>
      </c>
      <c r="E101" s="28" t="s">
        <v>1695</v>
      </c>
      <c r="F101" s="31"/>
      <c r="G101" s="32" t="s">
        <v>1696</v>
      </c>
    </row>
    <row r="102" spans="1:7" ht="15.75" thickBot="1" x14ac:dyDescent="0.3">
      <c r="A102" s="108">
        <v>0</v>
      </c>
      <c r="B102" s="108">
        <v>1</v>
      </c>
      <c r="C102" s="25"/>
      <c r="D102" s="28" t="s">
        <v>338</v>
      </c>
      <c r="E102" s="28" t="s">
        <v>1697</v>
      </c>
      <c r="F102" s="29">
        <f>F98-F101</f>
        <v>0</v>
      </c>
      <c r="G102" s="28" t="s">
        <v>1705</v>
      </c>
    </row>
    <row r="103" spans="1:7" ht="15.75" thickBot="1" x14ac:dyDescent="0.3">
      <c r="A103" s="108">
        <v>0</v>
      </c>
      <c r="B103" s="108">
        <v>1</v>
      </c>
      <c r="E103" s="45" t="s">
        <v>1699</v>
      </c>
      <c r="F103" s="46">
        <f>IFERROR(F99/F98,0)</f>
        <v>0</v>
      </c>
      <c r="G103" s="37" t="s">
        <v>348</v>
      </c>
    </row>
    <row r="104" spans="1:7" ht="15.75" thickBot="1" x14ac:dyDescent="0.3">
      <c r="A104" s="108">
        <v>0</v>
      </c>
      <c r="B104" s="108">
        <v>1</v>
      </c>
      <c r="E104" s="45" t="s">
        <v>1700</v>
      </c>
      <c r="F104" s="46">
        <f>IFERROR(F101/F98,0)</f>
        <v>0</v>
      </c>
      <c r="G104" s="37" t="s">
        <v>844</v>
      </c>
    </row>
    <row r="105" spans="1:7" ht="15.75" thickBot="1" x14ac:dyDescent="0.3">
      <c r="A105" s="108">
        <v>0</v>
      </c>
      <c r="B105" s="108">
        <v>1</v>
      </c>
      <c r="E105" s="47" t="s">
        <v>1718</v>
      </c>
      <c r="F105" s="44">
        <f>IF(F97=0,0,F104)</f>
        <v>0</v>
      </c>
      <c r="G105" s="37"/>
    </row>
    <row r="107" spans="1:7" s="1" customFormat="1" ht="45" customHeight="1" x14ac:dyDescent="0.25">
      <c r="A107" s="108">
        <v>0</v>
      </c>
      <c r="B107" s="108">
        <v>1</v>
      </c>
      <c r="C107" s="112"/>
      <c r="D107" s="112"/>
      <c r="E107" s="152" t="s">
        <v>2080</v>
      </c>
      <c r="F107" s="147" t="s">
        <v>2053</v>
      </c>
      <c r="G107" s="159"/>
    </row>
    <row r="108" spans="1:7" s="1" customFormat="1" x14ac:dyDescent="0.25">
      <c r="A108" s="64"/>
      <c r="B108" s="64"/>
      <c r="C108" s="112"/>
      <c r="D108" s="112"/>
      <c r="E108" s="112"/>
      <c r="F108" s="56"/>
      <c r="G108" s="150"/>
    </row>
    <row r="109" spans="1:7" x14ac:dyDescent="0.25">
      <c r="A109" s="108">
        <v>9</v>
      </c>
      <c r="B109" s="108">
        <v>2</v>
      </c>
      <c r="C109" s="146">
        <v>14.09</v>
      </c>
      <c r="D109" s="215" t="s">
        <v>281</v>
      </c>
      <c r="E109" s="215"/>
      <c r="F109" s="27" t="s">
        <v>320</v>
      </c>
      <c r="G109" s="146" t="s">
        <v>321</v>
      </c>
    </row>
    <row r="110" spans="1:7" ht="30" x14ac:dyDescent="0.25">
      <c r="A110" s="108">
        <v>9</v>
      </c>
      <c r="B110" s="108">
        <v>2</v>
      </c>
      <c r="C110" s="25"/>
      <c r="D110" s="28" t="s">
        <v>322</v>
      </c>
      <c r="E110" s="28" t="s">
        <v>1719</v>
      </c>
      <c r="F110" s="31"/>
      <c r="G110" s="76" t="s">
        <v>402</v>
      </c>
    </row>
    <row r="111" spans="1:7" x14ac:dyDescent="0.25">
      <c r="A111" s="108">
        <v>9</v>
      </c>
      <c r="B111" s="108">
        <v>2</v>
      </c>
      <c r="C111" s="25"/>
      <c r="D111" s="28" t="s">
        <v>327</v>
      </c>
      <c r="E111" s="28" t="s">
        <v>1704</v>
      </c>
      <c r="F111" s="124">
        <f>F85</f>
        <v>0</v>
      </c>
      <c r="G111" s="125"/>
    </row>
    <row r="112" spans="1:7" x14ac:dyDescent="0.25">
      <c r="A112" s="108">
        <v>9</v>
      </c>
      <c r="B112" s="108">
        <v>2</v>
      </c>
      <c r="C112" s="25"/>
      <c r="D112" s="28" t="s">
        <v>330</v>
      </c>
      <c r="E112" s="28" t="s">
        <v>1691</v>
      </c>
      <c r="F112" s="31"/>
      <c r="G112" s="32" t="s">
        <v>1692</v>
      </c>
    </row>
    <row r="113" spans="1:7" x14ac:dyDescent="0.25">
      <c r="A113" s="108">
        <v>9</v>
      </c>
      <c r="B113" s="108">
        <v>2</v>
      </c>
      <c r="C113" s="25"/>
      <c r="D113" s="28" t="s">
        <v>332</v>
      </c>
      <c r="E113" s="28" t="s">
        <v>1693</v>
      </c>
      <c r="F113" s="29">
        <f>F111-F112</f>
        <v>0</v>
      </c>
      <c r="G113" s="28" t="s">
        <v>1694</v>
      </c>
    </row>
    <row r="114" spans="1:7" x14ac:dyDescent="0.25">
      <c r="A114" s="108">
        <v>9</v>
      </c>
      <c r="B114" s="108">
        <v>2</v>
      </c>
      <c r="C114" s="25"/>
      <c r="D114" s="28" t="s">
        <v>335</v>
      </c>
      <c r="E114" s="28" t="s">
        <v>1695</v>
      </c>
      <c r="F114" s="31"/>
      <c r="G114" s="32" t="s">
        <v>1696</v>
      </c>
    </row>
    <row r="115" spans="1:7" ht="15.75" thickBot="1" x14ac:dyDescent="0.3">
      <c r="A115" s="108">
        <v>9</v>
      </c>
      <c r="B115" s="108">
        <v>2</v>
      </c>
      <c r="C115" s="25"/>
      <c r="D115" s="28" t="s">
        <v>338</v>
      </c>
      <c r="E115" s="28" t="s">
        <v>1697</v>
      </c>
      <c r="F115" s="29">
        <f>F111-F114</f>
        <v>0</v>
      </c>
      <c r="G115" s="28" t="s">
        <v>1705</v>
      </c>
    </row>
    <row r="116" spans="1:7" ht="15.75" thickBot="1" x14ac:dyDescent="0.3">
      <c r="A116" s="108">
        <v>9</v>
      </c>
      <c r="B116" s="108">
        <v>2</v>
      </c>
      <c r="E116" s="45" t="s">
        <v>1699</v>
      </c>
      <c r="F116" s="46">
        <f>IFERROR(F112/F111,0)</f>
        <v>0</v>
      </c>
      <c r="G116" s="37" t="s">
        <v>348</v>
      </c>
    </row>
    <row r="117" spans="1:7" ht="15.75" thickBot="1" x14ac:dyDescent="0.3">
      <c r="A117" s="108">
        <v>9</v>
      </c>
      <c r="B117" s="108">
        <v>2</v>
      </c>
      <c r="E117" s="45" t="s">
        <v>1700</v>
      </c>
      <c r="F117" s="46">
        <f>IFERROR(F114/F111,0)</f>
        <v>0</v>
      </c>
      <c r="G117" s="37" t="s">
        <v>844</v>
      </c>
    </row>
    <row r="118" spans="1:7" ht="15.75" thickBot="1" x14ac:dyDescent="0.3">
      <c r="A118" s="108">
        <v>9</v>
      </c>
      <c r="B118" s="108">
        <v>2</v>
      </c>
      <c r="E118" s="47" t="s">
        <v>1720</v>
      </c>
      <c r="F118" s="44">
        <f>IF(F110=0,0,F117)</f>
        <v>0</v>
      </c>
      <c r="G118" s="37"/>
    </row>
    <row r="120" spans="1:7" s="1" customFormat="1" ht="45" customHeight="1" x14ac:dyDescent="0.25">
      <c r="A120" s="108">
        <v>9</v>
      </c>
      <c r="B120" s="108">
        <v>2</v>
      </c>
      <c r="C120" s="112"/>
      <c r="D120" s="112"/>
      <c r="E120" s="152" t="s">
        <v>2080</v>
      </c>
      <c r="F120" s="147" t="s">
        <v>2053</v>
      </c>
      <c r="G120" s="159"/>
    </row>
    <row r="121" spans="1:7" s="1" customFormat="1" x14ac:dyDescent="0.25">
      <c r="A121" s="64"/>
      <c r="B121" s="64"/>
      <c r="C121" s="112"/>
      <c r="D121" s="112"/>
      <c r="E121" s="112"/>
      <c r="F121" s="56"/>
      <c r="G121" s="150"/>
    </row>
  </sheetData>
  <sheetProtection algorithmName="SHA-512" hashValue="pXWJ4sQAgtXny4VW7Dw133KyNjAv5YEOas3M8aSY1jNCbHusKpeW+s5hb35n7YP4NW3paTM7Zpq3yxcZm2FD5g==" saltValue="oYlsZV9z8xxbeuN7RV2vcw==" spinCount="100000" sheet="1" formatRows="0" selectLockedCells="1"/>
  <mergeCells count="10">
    <mergeCell ref="D57:E57"/>
    <mergeCell ref="D70:E70"/>
    <mergeCell ref="D83:E83"/>
    <mergeCell ref="D96:E96"/>
    <mergeCell ref="D109:E109"/>
    <mergeCell ref="C2:E2"/>
    <mergeCell ref="D4:E4"/>
    <mergeCell ref="D18:E18"/>
    <mergeCell ref="D31:E31"/>
    <mergeCell ref="D44:E44"/>
  </mergeCells>
  <conditionalFormatting sqref="E1:E1048576">
    <cfRule type="containsText" dxfId="14" priority="2" operator="containsText" text="Safeguard Scoring Complete">
      <formula>NOT(ISERROR(SEARCH("Safeguard Scoring Complete",E1)))</formula>
    </cfRule>
    <cfRule type="containsText" dxfId="13" priority="12" operator="containsText" text="Safeguard Scoring Incomplete">
      <formula>NOT(ISERROR(SEARCH("Safeguard Scoring Incomplete",E1)))</formula>
    </cfRule>
  </conditionalFormatting>
  <dataValidations count="3">
    <dataValidation type="list" allowBlank="1" showInputMessage="1" showErrorMessage="1" sqref="F2" xr:uid="{91F2B2F0-79ED-4CC0-88C8-6D34BDA8F7F3}">
      <formula1>"Assessed,Not Assessed"</formula1>
    </dataValidation>
    <dataValidation type="list" allowBlank="1" showInputMessage="1" showErrorMessage="1" sqref="F19 F32 F45 F58 F71 F84 F97 F110" xr:uid="{05F49720-5060-4873-BCEB-A8C17FDA61FD}">
      <formula1>"0,1"</formula1>
    </dataValidation>
    <dataValidation type="list" allowBlank="1" showInputMessage="1" showErrorMessage="1" sqref="E16 E29 E42 E55 E68 E81 E94 E107 E120" xr:uid="{5E01A425-F425-4398-A764-19B5E8E8F34B}">
      <formula1>"Safeguard Scoring Complete,Safeguard Scoring Incomplete"</formula1>
    </dataValidation>
  </dataValidations>
  <hyperlinks>
    <hyperlink ref="G2" r:id="rId1" xr:uid="{6D6E92B4-ED67-448B-94D0-9B19DB3A7FFF}"/>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73735500-75AF-4615-B6A1-C0BFAF7E24CC}">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CAA2-AFA1-4120-B37D-87DF6B57A220}">
  <sheetPr codeName="Sheet18"/>
  <dimension ref="A2:G88"/>
  <sheetViews>
    <sheetView showGridLines="0" workbookViewId="0">
      <selection activeCell="F11" sqref="F11"/>
    </sheetView>
  </sheetViews>
  <sheetFormatPr defaultColWidth="9.140625" defaultRowHeight="15.75" customHeight="1" x14ac:dyDescent="0.25"/>
  <cols>
    <col min="1" max="2" width="2.7109375" style="108" customWidth="1"/>
    <col min="3" max="3" width="6.710937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customHeight="1" x14ac:dyDescent="0.25">
      <c r="C2" s="214" t="s">
        <v>1721</v>
      </c>
      <c r="D2" s="214"/>
      <c r="E2" s="214"/>
      <c r="F2" s="100" t="s">
        <v>318</v>
      </c>
      <c r="G2" s="208" t="s">
        <v>2199</v>
      </c>
    </row>
    <row r="4" spans="1:7" ht="15.75" customHeight="1" x14ac:dyDescent="0.25">
      <c r="A4" s="108">
        <v>0</v>
      </c>
      <c r="B4" s="108">
        <v>1</v>
      </c>
      <c r="C4" s="146">
        <v>15.01</v>
      </c>
      <c r="D4" s="215" t="s">
        <v>282</v>
      </c>
      <c r="E4" s="215"/>
      <c r="F4" s="27" t="s">
        <v>320</v>
      </c>
      <c r="G4" s="146" t="s">
        <v>321</v>
      </c>
    </row>
    <row r="5" spans="1:7" ht="15.75" customHeight="1" x14ac:dyDescent="0.25">
      <c r="A5" s="108">
        <v>0</v>
      </c>
      <c r="B5" s="108">
        <v>1</v>
      </c>
      <c r="C5" s="25"/>
      <c r="D5" s="28" t="s">
        <v>322</v>
      </c>
      <c r="E5" s="28" t="s">
        <v>1722</v>
      </c>
      <c r="F5" s="29">
        <f>IF(Artifacts!E27="Artifact Provided",1,0)</f>
        <v>0</v>
      </c>
      <c r="G5" s="30" t="s">
        <v>978</v>
      </c>
    </row>
    <row r="6" spans="1:7" ht="15" x14ac:dyDescent="0.25">
      <c r="A6" s="108">
        <v>0</v>
      </c>
      <c r="B6" s="108">
        <v>1</v>
      </c>
      <c r="C6" s="25"/>
      <c r="D6" s="28" t="s">
        <v>327</v>
      </c>
      <c r="E6" s="28" t="s">
        <v>1723</v>
      </c>
      <c r="F6" s="124">
        <f>SUM(F7:F9)</f>
        <v>0</v>
      </c>
      <c r="G6" s="30"/>
    </row>
    <row r="7" spans="1:7" ht="15" x14ac:dyDescent="0.25">
      <c r="A7" s="108">
        <v>0</v>
      </c>
      <c r="B7" s="108">
        <v>1</v>
      </c>
      <c r="C7" s="25"/>
      <c r="D7" s="28" t="s">
        <v>400</v>
      </c>
      <c r="E7" s="28" t="s">
        <v>2119</v>
      </c>
      <c r="F7" s="31"/>
      <c r="G7" s="32" t="s">
        <v>978</v>
      </c>
    </row>
    <row r="8" spans="1:7" ht="15" x14ac:dyDescent="0.25">
      <c r="A8" s="108">
        <v>0</v>
      </c>
      <c r="B8" s="108">
        <v>1</v>
      </c>
      <c r="C8" s="25"/>
      <c r="D8" s="28" t="s">
        <v>403</v>
      </c>
      <c r="E8" s="28" t="s">
        <v>1724</v>
      </c>
      <c r="F8" s="31"/>
      <c r="G8" s="32" t="s">
        <v>978</v>
      </c>
    </row>
    <row r="9" spans="1:7" ht="30" x14ac:dyDescent="0.25">
      <c r="A9" s="108">
        <v>0</v>
      </c>
      <c r="B9" s="108">
        <v>1</v>
      </c>
      <c r="C9" s="25"/>
      <c r="D9" s="28" t="s">
        <v>405</v>
      </c>
      <c r="E9" s="28" t="s">
        <v>1725</v>
      </c>
      <c r="F9" s="31"/>
      <c r="G9" s="32" t="s">
        <v>978</v>
      </c>
    </row>
    <row r="10" spans="1:7" ht="30" x14ac:dyDescent="0.25">
      <c r="C10" s="25"/>
      <c r="D10" s="28" t="s">
        <v>407</v>
      </c>
      <c r="E10" s="144" t="s">
        <v>1726</v>
      </c>
      <c r="F10" s="31" t="s">
        <v>1727</v>
      </c>
      <c r="G10" s="145" t="s">
        <v>2120</v>
      </c>
    </row>
    <row r="11" spans="1:7" ht="15" x14ac:dyDescent="0.25">
      <c r="A11" s="108">
        <v>0</v>
      </c>
      <c r="B11" s="108">
        <v>1</v>
      </c>
      <c r="C11" s="25"/>
      <c r="D11" s="28" t="s">
        <v>330</v>
      </c>
      <c r="E11" s="28" t="s">
        <v>1728</v>
      </c>
      <c r="F11" s="31"/>
      <c r="G11" s="32"/>
    </row>
    <row r="12" spans="1:7" ht="15.75" customHeight="1" x14ac:dyDescent="0.25">
      <c r="A12" s="108">
        <v>0</v>
      </c>
      <c r="B12" s="108">
        <v>1</v>
      </c>
      <c r="C12" s="25"/>
      <c r="D12" s="28" t="s">
        <v>332</v>
      </c>
      <c r="E12" s="28" t="s">
        <v>1729</v>
      </c>
      <c r="F12" s="31"/>
      <c r="G12" s="32" t="s">
        <v>1730</v>
      </c>
    </row>
    <row r="13" spans="1:7" ht="15.75" customHeight="1" x14ac:dyDescent="0.25">
      <c r="A13" s="108">
        <v>0</v>
      </c>
      <c r="B13" s="108">
        <v>1</v>
      </c>
      <c r="C13" s="25"/>
      <c r="D13" s="28" t="s">
        <v>335</v>
      </c>
      <c r="E13" s="28" t="s">
        <v>1731</v>
      </c>
      <c r="F13" s="31"/>
      <c r="G13" s="32" t="s">
        <v>1732</v>
      </c>
    </row>
    <row r="14" spans="1:7" ht="15.75" customHeight="1" x14ac:dyDescent="0.25">
      <c r="A14" s="108">
        <v>0</v>
      </c>
      <c r="B14" s="108">
        <v>1</v>
      </c>
      <c r="C14" s="25"/>
      <c r="D14" s="28" t="s">
        <v>338</v>
      </c>
      <c r="E14" s="28" t="s">
        <v>1733</v>
      </c>
      <c r="F14" s="31"/>
      <c r="G14" s="32" t="s">
        <v>1734</v>
      </c>
    </row>
    <row r="15" spans="1:7" ht="15.75" customHeight="1" thickBot="1" x14ac:dyDescent="0.3">
      <c r="A15" s="108">
        <v>0</v>
      </c>
      <c r="B15" s="108">
        <v>1</v>
      </c>
      <c r="C15" s="25"/>
      <c r="D15" s="28" t="s">
        <v>341</v>
      </c>
      <c r="E15" s="28" t="s">
        <v>1735</v>
      </c>
      <c r="F15" s="29">
        <f>DATEDIF(Artifacts!$F$27,GlobalSettings!$C$4,"m")</f>
        <v>1508</v>
      </c>
      <c r="G15" s="30" t="s">
        <v>1736</v>
      </c>
    </row>
    <row r="16" spans="1:7" ht="15.75" customHeight="1" thickBot="1" x14ac:dyDescent="0.3">
      <c r="A16" s="108">
        <v>0</v>
      </c>
      <c r="B16" s="108">
        <v>1</v>
      </c>
      <c r="E16" s="45" t="s">
        <v>1737</v>
      </c>
      <c r="F16" s="46">
        <f>IFERROR(F10/(F11*3),0)</f>
        <v>0</v>
      </c>
      <c r="G16" s="37" t="s">
        <v>1738</v>
      </c>
    </row>
    <row r="17" spans="1:7" ht="15.75" customHeight="1" thickBot="1" x14ac:dyDescent="0.3">
      <c r="A17" s="108">
        <v>0</v>
      </c>
      <c r="B17" s="108">
        <v>1</v>
      </c>
      <c r="E17" s="45" t="s">
        <v>1739</v>
      </c>
      <c r="F17" s="46">
        <f>IFERROR(F12/(F11-F13+F14),0)</f>
        <v>0</v>
      </c>
      <c r="G17" s="37" t="s">
        <v>1740</v>
      </c>
    </row>
    <row r="18" spans="1:7" ht="15.75" customHeight="1" thickBot="1" x14ac:dyDescent="0.3">
      <c r="A18" s="108">
        <v>0</v>
      </c>
      <c r="B18" s="108">
        <v>1</v>
      </c>
      <c r="E18" s="47" t="s">
        <v>1741</v>
      </c>
      <c r="F18" s="44">
        <f>IF(F5=0,0,(IF(F15&lt;=12,AVERAGE(F16:F17),IF(GlobalSettings!$C$12="No",0,AVERAGE(F16:F17)*0.5))))</f>
        <v>0</v>
      </c>
      <c r="G18" s="37" t="s">
        <v>2073</v>
      </c>
    </row>
    <row r="20" spans="1:7" s="1" customFormat="1" ht="45" customHeight="1" x14ac:dyDescent="0.25">
      <c r="A20" s="108">
        <v>0</v>
      </c>
      <c r="B20" s="108">
        <v>1</v>
      </c>
      <c r="C20" s="51"/>
      <c r="D20" s="112"/>
      <c r="E20" s="152" t="s">
        <v>2080</v>
      </c>
      <c r="F20" s="147" t="s">
        <v>2053</v>
      </c>
      <c r="G20" s="159"/>
    </row>
    <row r="21" spans="1:7" s="1" customFormat="1" ht="15" x14ac:dyDescent="0.25">
      <c r="A21" s="64"/>
      <c r="B21" s="64"/>
      <c r="C21" s="112"/>
      <c r="D21" s="112"/>
      <c r="E21" s="112"/>
      <c r="F21" s="56"/>
      <c r="G21" s="150"/>
    </row>
    <row r="22" spans="1:7" ht="15.75" customHeight="1" x14ac:dyDescent="0.25">
      <c r="A22" s="108">
        <v>9</v>
      </c>
      <c r="B22" s="108">
        <v>2</v>
      </c>
      <c r="C22" s="146">
        <v>15.02</v>
      </c>
      <c r="D22" s="215" t="s">
        <v>283</v>
      </c>
      <c r="E22" s="215"/>
      <c r="F22" s="27" t="s">
        <v>320</v>
      </c>
      <c r="G22" s="146" t="s">
        <v>321</v>
      </c>
    </row>
    <row r="23" spans="1:7" ht="15.75" customHeight="1" x14ac:dyDescent="0.25">
      <c r="A23" s="108">
        <v>9</v>
      </c>
      <c r="B23" s="108">
        <v>2</v>
      </c>
      <c r="C23" s="25"/>
      <c r="D23" s="28" t="s">
        <v>322</v>
      </c>
      <c r="E23" s="28" t="s">
        <v>1742</v>
      </c>
      <c r="F23" s="29">
        <f>IF(Artifacts!E28="Artifact Provided",1,0)</f>
        <v>0</v>
      </c>
      <c r="G23" s="30" t="s">
        <v>978</v>
      </c>
    </row>
    <row r="24" spans="1:7" ht="15" x14ac:dyDescent="0.25">
      <c r="A24" s="108">
        <v>9</v>
      </c>
      <c r="B24" s="108">
        <v>2</v>
      </c>
      <c r="C24" s="25"/>
      <c r="D24" s="28" t="s">
        <v>327</v>
      </c>
      <c r="E24" s="28" t="s">
        <v>1743</v>
      </c>
      <c r="F24" s="124">
        <f>SUM(F25:F29)</f>
        <v>0</v>
      </c>
      <c r="G24" s="30"/>
    </row>
    <row r="25" spans="1:7" ht="15" x14ac:dyDescent="0.25">
      <c r="A25" s="108">
        <v>9</v>
      </c>
      <c r="B25" s="108">
        <v>2</v>
      </c>
      <c r="C25" s="25"/>
      <c r="D25" s="28" t="s">
        <v>400</v>
      </c>
      <c r="E25" s="28" t="s">
        <v>1744</v>
      </c>
      <c r="F25" s="31"/>
      <c r="G25" s="32" t="s">
        <v>978</v>
      </c>
    </row>
    <row r="26" spans="1:7" ht="15" x14ac:dyDescent="0.25">
      <c r="A26" s="108">
        <v>9</v>
      </c>
      <c r="B26" s="108">
        <v>2</v>
      </c>
      <c r="C26" s="25"/>
      <c r="D26" s="28" t="s">
        <v>403</v>
      </c>
      <c r="E26" s="28" t="s">
        <v>1745</v>
      </c>
      <c r="F26" s="31"/>
      <c r="G26" s="32" t="s">
        <v>978</v>
      </c>
    </row>
    <row r="27" spans="1:7" ht="15" x14ac:dyDescent="0.25">
      <c r="A27" s="108">
        <v>9</v>
      </c>
      <c r="B27" s="108">
        <v>2</v>
      </c>
      <c r="C27" s="25"/>
      <c r="D27" s="28" t="s">
        <v>405</v>
      </c>
      <c r="E27" s="28" t="s">
        <v>1746</v>
      </c>
      <c r="F27" s="31"/>
      <c r="G27" s="32" t="s">
        <v>978</v>
      </c>
    </row>
    <row r="28" spans="1:7" ht="15" x14ac:dyDescent="0.25">
      <c r="A28" s="108">
        <v>9</v>
      </c>
      <c r="B28" s="108">
        <v>2</v>
      </c>
      <c r="C28" s="25"/>
      <c r="D28" s="28" t="s">
        <v>407</v>
      </c>
      <c r="E28" s="28" t="s">
        <v>1747</v>
      </c>
      <c r="F28" s="31"/>
      <c r="G28" s="32" t="s">
        <v>978</v>
      </c>
    </row>
    <row r="29" spans="1:7" ht="15" x14ac:dyDescent="0.25">
      <c r="A29" s="108">
        <v>9</v>
      </c>
      <c r="B29" s="108">
        <v>2</v>
      </c>
      <c r="C29" s="25"/>
      <c r="D29" s="28" t="s">
        <v>409</v>
      </c>
      <c r="E29" s="28" t="s">
        <v>1748</v>
      </c>
      <c r="F29" s="31"/>
      <c r="G29" s="32" t="s">
        <v>978</v>
      </c>
    </row>
    <row r="30" spans="1:7" ht="15.75" customHeight="1" thickBot="1" x14ac:dyDescent="0.3">
      <c r="A30" s="108">
        <v>9</v>
      </c>
      <c r="B30" s="108">
        <v>2</v>
      </c>
      <c r="C30" s="25"/>
      <c r="D30" s="28" t="s">
        <v>330</v>
      </c>
      <c r="E30" s="28" t="s">
        <v>1749</v>
      </c>
      <c r="F30" s="29">
        <f>DATEDIF(Artifacts!$F$28,GlobalSettings!$C$4,"m")</f>
        <v>1508</v>
      </c>
      <c r="G30" s="30"/>
    </row>
    <row r="31" spans="1:7" ht="15.75" customHeight="1" thickBot="1" x14ac:dyDescent="0.3">
      <c r="A31" s="108">
        <v>9</v>
      </c>
      <c r="B31" s="108">
        <v>2</v>
      </c>
      <c r="E31" s="45" t="s">
        <v>1750</v>
      </c>
      <c r="F31" s="46">
        <f>IFERROR(F24/5,0)</f>
        <v>0</v>
      </c>
      <c r="G31" s="37" t="s">
        <v>1751</v>
      </c>
    </row>
    <row r="32" spans="1:7" ht="15.75" customHeight="1" thickBot="1" x14ac:dyDescent="0.3">
      <c r="A32" s="108">
        <v>9</v>
      </c>
      <c r="B32" s="108">
        <v>2</v>
      </c>
      <c r="E32" s="47" t="s">
        <v>1752</v>
      </c>
      <c r="F32" s="44">
        <f>IF(F23=0,0,IF(F30&lt;=GlobalSettings!$C$8,F31,IF(GlobalSettings!$C$10="No",0,F31*(GlobalSettings!$C$6-0.01))))</f>
        <v>0</v>
      </c>
      <c r="G32" s="37" t="s">
        <v>1753</v>
      </c>
    </row>
    <row r="34" spans="1:7" s="1" customFormat="1" ht="45" customHeight="1" x14ac:dyDescent="0.25">
      <c r="A34" s="108">
        <v>9</v>
      </c>
      <c r="B34" s="108">
        <v>2</v>
      </c>
      <c r="C34" s="51"/>
      <c r="D34" s="112"/>
      <c r="E34" s="152" t="s">
        <v>2080</v>
      </c>
      <c r="F34" s="147" t="s">
        <v>2053</v>
      </c>
      <c r="G34" s="159"/>
    </row>
    <row r="35" spans="1:7" s="1" customFormat="1" ht="15" x14ac:dyDescent="0.25">
      <c r="A35" s="64"/>
      <c r="B35" s="64"/>
      <c r="C35" s="112"/>
      <c r="D35" s="112"/>
      <c r="E35" s="112"/>
      <c r="F35" s="56"/>
      <c r="G35" s="150"/>
    </row>
    <row r="36" spans="1:7" ht="15.75" customHeight="1" x14ac:dyDescent="0.25">
      <c r="A36" s="108">
        <v>9</v>
      </c>
      <c r="B36" s="108">
        <v>2</v>
      </c>
      <c r="C36" s="146">
        <v>15.03</v>
      </c>
      <c r="D36" s="215" t="s">
        <v>284</v>
      </c>
      <c r="E36" s="215"/>
      <c r="F36" s="27" t="s">
        <v>320</v>
      </c>
      <c r="G36" s="146" t="s">
        <v>321</v>
      </c>
    </row>
    <row r="37" spans="1:7" ht="30" x14ac:dyDescent="0.25">
      <c r="A37" s="108">
        <v>9</v>
      </c>
      <c r="B37" s="108">
        <v>2</v>
      </c>
      <c r="C37" s="25"/>
      <c r="D37" s="28" t="s">
        <v>322</v>
      </c>
      <c r="E37" s="28" t="s">
        <v>1754</v>
      </c>
      <c r="F37" s="31"/>
      <c r="G37" s="32" t="s">
        <v>978</v>
      </c>
    </row>
    <row r="38" spans="1:7" ht="15.75" customHeight="1" x14ac:dyDescent="0.25">
      <c r="A38" s="108">
        <v>9</v>
      </c>
      <c r="B38" s="108">
        <v>2</v>
      </c>
      <c r="C38" s="25"/>
      <c r="D38" s="28" t="s">
        <v>327</v>
      </c>
      <c r="E38" s="28" t="s">
        <v>1755</v>
      </c>
      <c r="F38" s="29">
        <f>F15</f>
        <v>1508</v>
      </c>
      <c r="G38" s="30"/>
    </row>
    <row r="39" spans="1:7" ht="15.75" customHeight="1" x14ac:dyDescent="0.25">
      <c r="A39" s="108">
        <v>9</v>
      </c>
      <c r="B39" s="108">
        <v>2</v>
      </c>
      <c r="C39" s="25"/>
      <c r="D39" s="28" t="s">
        <v>330</v>
      </c>
      <c r="E39" s="28" t="s">
        <v>1756</v>
      </c>
      <c r="F39" s="31"/>
      <c r="G39" s="32"/>
    </row>
    <row r="40" spans="1:7" ht="15.75" customHeight="1" x14ac:dyDescent="0.25">
      <c r="A40" s="108">
        <v>9</v>
      </c>
      <c r="B40" s="108">
        <v>2</v>
      </c>
      <c r="C40" s="25"/>
      <c r="D40" s="28" t="s">
        <v>332</v>
      </c>
      <c r="E40" s="28" t="s">
        <v>1757</v>
      </c>
      <c r="F40" s="31"/>
      <c r="G40" s="32" t="s">
        <v>1758</v>
      </c>
    </row>
    <row r="41" spans="1:7" ht="15.75" customHeight="1" thickBot="1" x14ac:dyDescent="0.3">
      <c r="A41" s="108">
        <v>9</v>
      </c>
      <c r="B41" s="108">
        <v>2</v>
      </c>
      <c r="C41" s="25"/>
      <c r="D41" s="28" t="s">
        <v>335</v>
      </c>
      <c r="E41" s="28" t="s">
        <v>1759</v>
      </c>
      <c r="F41" s="29">
        <f>F39-F40</f>
        <v>0</v>
      </c>
      <c r="G41" s="30" t="s">
        <v>1760</v>
      </c>
    </row>
    <row r="42" spans="1:7" ht="15.75" customHeight="1" thickBot="1" x14ac:dyDescent="0.3">
      <c r="A42" s="108">
        <v>9</v>
      </c>
      <c r="B42" s="108">
        <v>2</v>
      </c>
      <c r="E42" s="45" t="s">
        <v>1761</v>
      </c>
      <c r="F42" s="46">
        <f>IFERROR(F40/F39,0)</f>
        <v>0</v>
      </c>
      <c r="G42" s="37" t="s">
        <v>380</v>
      </c>
    </row>
    <row r="43" spans="1:7" ht="15.75" customHeight="1" thickBot="1" x14ac:dyDescent="0.3">
      <c r="A43" s="108">
        <v>9</v>
      </c>
      <c r="B43" s="108">
        <v>2</v>
      </c>
      <c r="E43" s="47" t="s">
        <v>1762</v>
      </c>
      <c r="F43" s="44">
        <f>IF(F37=0,0,(IF(F38&lt;=12,F42,IF(GlobalSettings!$C$12="No",0,F42*0.5))))</f>
        <v>0</v>
      </c>
      <c r="G43" s="37" t="s">
        <v>2074</v>
      </c>
    </row>
    <row r="45" spans="1:7" s="1" customFormat="1" ht="45" customHeight="1" x14ac:dyDescent="0.25">
      <c r="A45" s="108">
        <v>9</v>
      </c>
      <c r="B45" s="108">
        <v>2</v>
      </c>
      <c r="C45" s="51"/>
      <c r="D45" s="112"/>
      <c r="E45" s="152" t="s">
        <v>2080</v>
      </c>
      <c r="F45" s="147" t="s">
        <v>2053</v>
      </c>
      <c r="G45" s="159"/>
    </row>
    <row r="46" spans="1:7" s="1" customFormat="1" ht="15" x14ac:dyDescent="0.25">
      <c r="A46" s="64"/>
      <c r="B46" s="64"/>
      <c r="C46" s="112"/>
      <c r="D46" s="112"/>
      <c r="E46" s="112"/>
      <c r="F46" s="56"/>
      <c r="G46" s="150"/>
    </row>
    <row r="47" spans="1:7" ht="15.75" customHeight="1" x14ac:dyDescent="0.25">
      <c r="A47" s="108">
        <v>9</v>
      </c>
      <c r="B47" s="108">
        <v>2</v>
      </c>
      <c r="C47" s="146">
        <v>15.04</v>
      </c>
      <c r="D47" s="215" t="s">
        <v>285</v>
      </c>
      <c r="E47" s="215"/>
      <c r="F47" s="27" t="s">
        <v>320</v>
      </c>
      <c r="G47" s="146" t="s">
        <v>321</v>
      </c>
    </row>
    <row r="48" spans="1:7" ht="15.75" customHeight="1" x14ac:dyDescent="0.25">
      <c r="A48" s="108">
        <v>9</v>
      </c>
      <c r="B48" s="108">
        <v>2</v>
      </c>
      <c r="C48" s="25"/>
      <c r="D48" s="28" t="s">
        <v>322</v>
      </c>
      <c r="E48" s="28" t="s">
        <v>1763</v>
      </c>
      <c r="F48" s="31">
        <v>1</v>
      </c>
      <c r="G48" s="32" t="s">
        <v>978</v>
      </c>
    </row>
    <row r="49" spans="1:7" ht="15.75" customHeight="1" x14ac:dyDescent="0.25">
      <c r="A49" s="108">
        <v>9</v>
      </c>
      <c r="B49" s="108">
        <v>2</v>
      </c>
      <c r="C49" s="25"/>
      <c r="D49" s="28" t="s">
        <v>327</v>
      </c>
      <c r="E49" s="28" t="s">
        <v>1756</v>
      </c>
      <c r="F49" s="31"/>
      <c r="G49" s="32"/>
    </row>
    <row r="50" spans="1:7" ht="15.75" customHeight="1" x14ac:dyDescent="0.25">
      <c r="A50" s="108">
        <v>9</v>
      </c>
      <c r="B50" s="108">
        <v>2</v>
      </c>
      <c r="C50" s="25"/>
      <c r="D50" s="28" t="s">
        <v>330</v>
      </c>
      <c r="E50" s="28" t="s">
        <v>1764</v>
      </c>
      <c r="F50" s="31"/>
      <c r="G50" s="32" t="s">
        <v>1765</v>
      </c>
    </row>
    <row r="51" spans="1:7" ht="15.75" customHeight="1" x14ac:dyDescent="0.25">
      <c r="A51" s="108">
        <v>9</v>
      </c>
      <c r="B51" s="108">
        <v>2</v>
      </c>
      <c r="C51" s="25"/>
      <c r="D51" s="28" t="s">
        <v>332</v>
      </c>
      <c r="E51" s="28" t="s">
        <v>1766</v>
      </c>
      <c r="F51" s="29">
        <f>F49-F50</f>
        <v>0</v>
      </c>
      <c r="G51" s="30" t="s">
        <v>1767</v>
      </c>
    </row>
    <row r="52" spans="1:7" ht="15.75" customHeight="1" x14ac:dyDescent="0.25">
      <c r="A52" s="108">
        <v>9</v>
      </c>
      <c r="B52" s="108">
        <v>2</v>
      </c>
      <c r="C52" s="25"/>
      <c r="D52" s="28" t="s">
        <v>335</v>
      </c>
      <c r="E52" s="28" t="s">
        <v>1768</v>
      </c>
      <c r="F52" s="31"/>
      <c r="G52" s="32" t="s">
        <v>1769</v>
      </c>
    </row>
    <row r="53" spans="1:7" ht="15.75" customHeight="1" thickBot="1" x14ac:dyDescent="0.3">
      <c r="A53" s="108">
        <v>9</v>
      </c>
      <c r="B53" s="108">
        <v>2</v>
      </c>
      <c r="C53" s="25"/>
      <c r="D53" s="28" t="s">
        <v>338</v>
      </c>
      <c r="E53" s="28" t="s">
        <v>1770</v>
      </c>
      <c r="F53" s="29">
        <f>F50-F52</f>
        <v>0</v>
      </c>
      <c r="G53" s="30" t="s">
        <v>1771</v>
      </c>
    </row>
    <row r="54" spans="1:7" ht="15.75" customHeight="1" thickBot="1" x14ac:dyDescent="0.3">
      <c r="A54" s="108">
        <v>9</v>
      </c>
      <c r="B54" s="108">
        <v>2</v>
      </c>
      <c r="E54" s="45" t="s">
        <v>1772</v>
      </c>
      <c r="F54" s="46">
        <f>IFERROR(F52/F49,0)</f>
        <v>0</v>
      </c>
      <c r="G54" s="37" t="s">
        <v>844</v>
      </c>
    </row>
    <row r="55" spans="1:7" ht="15.75" customHeight="1" thickBot="1" x14ac:dyDescent="0.3">
      <c r="A55" s="108">
        <v>9</v>
      </c>
      <c r="B55" s="108">
        <v>2</v>
      </c>
      <c r="E55" s="47" t="s">
        <v>1773</v>
      </c>
      <c r="F55" s="44">
        <f>IF(F48=0,0,F54)</f>
        <v>0</v>
      </c>
      <c r="G55" s="37" t="s">
        <v>1774</v>
      </c>
    </row>
    <row r="57" spans="1:7" s="1" customFormat="1" ht="45" customHeight="1" x14ac:dyDescent="0.25">
      <c r="A57" s="108">
        <v>9</v>
      </c>
      <c r="B57" s="108">
        <v>2</v>
      </c>
      <c r="C57" s="51"/>
      <c r="D57" s="112"/>
      <c r="E57" s="152" t="s">
        <v>2080</v>
      </c>
      <c r="F57" s="147" t="s">
        <v>2053</v>
      </c>
      <c r="G57" s="159"/>
    </row>
    <row r="58" spans="1:7" s="1" customFormat="1" ht="15" x14ac:dyDescent="0.25">
      <c r="A58" s="64"/>
      <c r="B58" s="64"/>
      <c r="C58" s="112"/>
      <c r="D58" s="112"/>
      <c r="E58" s="112"/>
      <c r="F58" s="56"/>
      <c r="G58" s="150"/>
    </row>
    <row r="59" spans="1:7" ht="15.75" customHeight="1" x14ac:dyDescent="0.25">
      <c r="A59" s="108">
        <v>9</v>
      </c>
      <c r="B59" s="108">
        <v>3</v>
      </c>
      <c r="C59" s="146">
        <v>15.05</v>
      </c>
      <c r="D59" s="215" t="s">
        <v>286</v>
      </c>
      <c r="E59" s="215"/>
      <c r="F59" s="27" t="s">
        <v>320</v>
      </c>
      <c r="G59" s="146" t="s">
        <v>321</v>
      </c>
    </row>
    <row r="60" spans="1:7" ht="15.75" customHeight="1" x14ac:dyDescent="0.25">
      <c r="A60" s="108">
        <v>9</v>
      </c>
      <c r="B60" s="108">
        <v>3</v>
      </c>
      <c r="C60" s="25"/>
      <c r="D60" s="28" t="s">
        <v>322</v>
      </c>
      <c r="E60" s="28" t="s">
        <v>1775</v>
      </c>
      <c r="F60" s="31">
        <v>1</v>
      </c>
      <c r="G60" s="32" t="s">
        <v>978</v>
      </c>
    </row>
    <row r="61" spans="1:7" ht="15.75" customHeight="1" x14ac:dyDescent="0.25">
      <c r="A61" s="108">
        <v>9</v>
      </c>
      <c r="B61" s="108">
        <v>3</v>
      </c>
      <c r="C61" s="25"/>
      <c r="D61" s="28" t="s">
        <v>327</v>
      </c>
      <c r="E61" s="28" t="s">
        <v>1756</v>
      </c>
      <c r="F61" s="31"/>
      <c r="G61" s="32"/>
    </row>
    <row r="62" spans="1:7" ht="15.75" customHeight="1" x14ac:dyDescent="0.25">
      <c r="A62" s="108">
        <v>9</v>
      </c>
      <c r="B62" s="108">
        <v>3</v>
      </c>
      <c r="C62" s="25"/>
      <c r="D62" s="28" t="s">
        <v>330</v>
      </c>
      <c r="E62" s="28" t="s">
        <v>1776</v>
      </c>
      <c r="F62" s="31"/>
      <c r="G62" s="32" t="s">
        <v>1777</v>
      </c>
    </row>
    <row r="63" spans="1:7" ht="15.75" customHeight="1" thickBot="1" x14ac:dyDescent="0.3">
      <c r="A63" s="108">
        <v>9</v>
      </c>
      <c r="B63" s="108">
        <v>3</v>
      </c>
      <c r="C63" s="25"/>
      <c r="D63" s="28" t="s">
        <v>332</v>
      </c>
      <c r="E63" s="28" t="s">
        <v>1778</v>
      </c>
      <c r="F63" s="29">
        <f>F61-F62</f>
        <v>0</v>
      </c>
      <c r="G63" s="30" t="s">
        <v>1779</v>
      </c>
    </row>
    <row r="64" spans="1:7" ht="15.75" customHeight="1" thickBot="1" x14ac:dyDescent="0.3">
      <c r="A64" s="108">
        <v>9</v>
      </c>
      <c r="B64" s="108">
        <v>3</v>
      </c>
      <c r="E64" s="45" t="s">
        <v>1780</v>
      </c>
      <c r="F64" s="46">
        <f>IFERROR(F62/F61,0)</f>
        <v>0</v>
      </c>
      <c r="G64" s="37" t="s">
        <v>348</v>
      </c>
    </row>
    <row r="65" spans="1:7" ht="15.75" customHeight="1" thickBot="1" x14ac:dyDescent="0.3">
      <c r="A65" s="108">
        <v>9</v>
      </c>
      <c r="B65" s="108">
        <v>3</v>
      </c>
      <c r="E65" s="47" t="s">
        <v>1781</v>
      </c>
      <c r="F65" s="44">
        <f>IF(F60=0,0,F64)</f>
        <v>0</v>
      </c>
      <c r="G65" s="37" t="s">
        <v>1774</v>
      </c>
    </row>
    <row r="67" spans="1:7" s="1" customFormat="1" ht="45" customHeight="1" x14ac:dyDescent="0.25">
      <c r="A67" s="108">
        <v>9</v>
      </c>
      <c r="B67" s="108">
        <v>3</v>
      </c>
      <c r="C67" s="51"/>
      <c r="D67" s="112"/>
      <c r="E67" s="152" t="s">
        <v>2080</v>
      </c>
      <c r="F67" s="147" t="s">
        <v>2053</v>
      </c>
      <c r="G67" s="159"/>
    </row>
    <row r="68" spans="1:7" s="1" customFormat="1" ht="15" x14ac:dyDescent="0.25">
      <c r="A68" s="64"/>
      <c r="B68" s="64"/>
      <c r="C68" s="112"/>
      <c r="D68" s="112"/>
      <c r="E68" s="112"/>
      <c r="F68" s="56"/>
      <c r="G68" s="150"/>
    </row>
    <row r="69" spans="1:7" ht="15.75" customHeight="1" x14ac:dyDescent="0.25">
      <c r="A69" s="108">
        <v>9</v>
      </c>
      <c r="B69" s="108">
        <v>3</v>
      </c>
      <c r="C69" s="146">
        <v>15.06</v>
      </c>
      <c r="D69" s="215" t="s">
        <v>287</v>
      </c>
      <c r="E69" s="215"/>
      <c r="F69" s="27" t="s">
        <v>320</v>
      </c>
      <c r="G69" s="146" t="s">
        <v>321</v>
      </c>
    </row>
    <row r="70" spans="1:7" ht="15.75" customHeight="1" x14ac:dyDescent="0.25">
      <c r="A70" s="108">
        <v>9</v>
      </c>
      <c r="B70" s="108">
        <v>3</v>
      </c>
      <c r="C70" s="25"/>
      <c r="D70" s="28" t="s">
        <v>322</v>
      </c>
      <c r="E70" s="28" t="s">
        <v>1775</v>
      </c>
      <c r="F70" s="31">
        <v>1</v>
      </c>
      <c r="G70" s="32" t="s">
        <v>978</v>
      </c>
    </row>
    <row r="71" spans="1:7" ht="15.75" customHeight="1" x14ac:dyDescent="0.25">
      <c r="A71" s="108">
        <v>9</v>
      </c>
      <c r="B71" s="108">
        <v>3</v>
      </c>
      <c r="C71" s="25"/>
      <c r="D71" s="28" t="s">
        <v>327</v>
      </c>
      <c r="E71" s="28" t="s">
        <v>1756</v>
      </c>
      <c r="F71" s="31"/>
      <c r="G71" s="32"/>
    </row>
    <row r="72" spans="1:7" ht="15.75" customHeight="1" x14ac:dyDescent="0.25">
      <c r="A72" s="108">
        <v>9</v>
      </c>
      <c r="B72" s="108">
        <v>3</v>
      </c>
      <c r="C72" s="25"/>
      <c r="D72" s="28" t="s">
        <v>330</v>
      </c>
      <c r="E72" s="28" t="s">
        <v>1782</v>
      </c>
      <c r="F72" s="31"/>
      <c r="G72" s="32" t="s">
        <v>1783</v>
      </c>
    </row>
    <row r="73" spans="1:7" ht="15.75" customHeight="1" thickBot="1" x14ac:dyDescent="0.3">
      <c r="A73" s="108">
        <v>9</v>
      </c>
      <c r="B73" s="108">
        <v>3</v>
      </c>
      <c r="C73" s="25"/>
      <c r="D73" s="28" t="s">
        <v>332</v>
      </c>
      <c r="E73" s="28" t="s">
        <v>1784</v>
      </c>
      <c r="F73" s="29">
        <f>F71-F72</f>
        <v>0</v>
      </c>
      <c r="G73" s="30" t="s">
        <v>1785</v>
      </c>
    </row>
    <row r="74" spans="1:7" ht="15.75" customHeight="1" thickBot="1" x14ac:dyDescent="0.3">
      <c r="A74" s="108">
        <v>9</v>
      </c>
      <c r="B74" s="108">
        <v>3</v>
      </c>
      <c r="E74" s="45" t="s">
        <v>1786</v>
      </c>
      <c r="F74" s="46">
        <f>IFERROR(F72/F71,0)</f>
        <v>0</v>
      </c>
      <c r="G74" s="37" t="s">
        <v>348</v>
      </c>
    </row>
    <row r="75" spans="1:7" ht="15.75" customHeight="1" thickBot="1" x14ac:dyDescent="0.3">
      <c r="A75" s="108">
        <v>9</v>
      </c>
      <c r="B75" s="108">
        <v>3</v>
      </c>
      <c r="E75" s="47" t="s">
        <v>1787</v>
      </c>
      <c r="F75" s="44">
        <f>IF(F70=0,0,F74)</f>
        <v>0</v>
      </c>
      <c r="G75" s="37" t="s">
        <v>1774</v>
      </c>
    </row>
    <row r="77" spans="1:7" s="1" customFormat="1" ht="45" customHeight="1" x14ac:dyDescent="0.25">
      <c r="A77" s="108">
        <v>9</v>
      </c>
      <c r="B77" s="108">
        <v>3</v>
      </c>
      <c r="C77" s="51"/>
      <c r="D77" s="112"/>
      <c r="E77" s="152" t="s">
        <v>2080</v>
      </c>
      <c r="F77" s="147" t="s">
        <v>2053</v>
      </c>
      <c r="G77" s="159"/>
    </row>
    <row r="78" spans="1:7" s="1" customFormat="1" ht="15" x14ac:dyDescent="0.25">
      <c r="A78" s="64"/>
      <c r="B78" s="64"/>
      <c r="C78" s="112"/>
      <c r="D78" s="112"/>
      <c r="E78" s="112"/>
      <c r="F78" s="56"/>
      <c r="G78" s="150"/>
    </row>
    <row r="79" spans="1:7" ht="15.75" customHeight="1" x14ac:dyDescent="0.25">
      <c r="A79" s="108">
        <v>9</v>
      </c>
      <c r="B79" s="108">
        <v>3</v>
      </c>
      <c r="C79" s="146">
        <v>15.07</v>
      </c>
      <c r="D79" s="215" t="s">
        <v>288</v>
      </c>
      <c r="E79" s="215"/>
      <c r="F79" s="27" t="s">
        <v>320</v>
      </c>
      <c r="G79" s="146" t="s">
        <v>321</v>
      </c>
    </row>
    <row r="80" spans="1:7" ht="30" x14ac:dyDescent="0.25">
      <c r="A80" s="108">
        <v>9</v>
      </c>
      <c r="B80" s="108">
        <v>3</v>
      </c>
      <c r="C80" s="25"/>
      <c r="D80" s="28" t="s">
        <v>322</v>
      </c>
      <c r="E80" s="28" t="s">
        <v>1788</v>
      </c>
      <c r="F80" s="31">
        <v>1</v>
      </c>
      <c r="G80" s="32" t="s">
        <v>978</v>
      </c>
    </row>
    <row r="81" spans="1:7" ht="15.75" customHeight="1" x14ac:dyDescent="0.25">
      <c r="A81" s="108">
        <v>9</v>
      </c>
      <c r="B81" s="108">
        <v>3</v>
      </c>
      <c r="C81" s="25"/>
      <c r="D81" s="28" t="s">
        <v>327</v>
      </c>
      <c r="E81" s="28" t="s">
        <v>1789</v>
      </c>
      <c r="F81" s="31"/>
      <c r="G81" s="32" t="s">
        <v>1790</v>
      </c>
    </row>
    <row r="82" spans="1:7" ht="15.75" customHeight="1" x14ac:dyDescent="0.25">
      <c r="A82" s="108">
        <v>9</v>
      </c>
      <c r="B82" s="108">
        <v>3</v>
      </c>
      <c r="C82" s="25"/>
      <c r="D82" s="28" t="s">
        <v>330</v>
      </c>
      <c r="E82" s="28" t="s">
        <v>1791</v>
      </c>
      <c r="F82" s="31"/>
      <c r="G82" s="32" t="s">
        <v>1792</v>
      </c>
    </row>
    <row r="83" spans="1:7" ht="15.75" customHeight="1" thickBot="1" x14ac:dyDescent="0.3">
      <c r="A83" s="108">
        <v>9</v>
      </c>
      <c r="B83" s="108">
        <v>3</v>
      </c>
      <c r="C83" s="25"/>
      <c r="D83" s="28" t="s">
        <v>332</v>
      </c>
      <c r="E83" s="28" t="s">
        <v>1793</v>
      </c>
      <c r="F83" s="124">
        <f>F81-F82</f>
        <v>0</v>
      </c>
      <c r="G83" s="32" t="s">
        <v>1794</v>
      </c>
    </row>
    <row r="84" spans="1:7" ht="15.75" customHeight="1" thickBot="1" x14ac:dyDescent="0.3">
      <c r="A84" s="108">
        <v>9</v>
      </c>
      <c r="B84" s="108">
        <v>3</v>
      </c>
      <c r="E84" s="45" t="s">
        <v>1795</v>
      </c>
      <c r="F84" s="46">
        <f>IFERROR(F82/F81,0)</f>
        <v>0</v>
      </c>
      <c r="G84" s="37" t="s">
        <v>348</v>
      </c>
    </row>
    <row r="85" spans="1:7" ht="15.75" customHeight="1" thickBot="1" x14ac:dyDescent="0.3">
      <c r="A85" s="108">
        <v>9</v>
      </c>
      <c r="B85" s="108">
        <v>3</v>
      </c>
      <c r="E85" s="47" t="s">
        <v>1796</v>
      </c>
      <c r="F85" s="44">
        <f>IF(F80=0,0,F84)</f>
        <v>0</v>
      </c>
      <c r="G85" s="37" t="s">
        <v>1774</v>
      </c>
    </row>
    <row r="87" spans="1:7" s="1" customFormat="1" ht="45" customHeight="1" x14ac:dyDescent="0.25">
      <c r="A87" s="108">
        <v>9</v>
      </c>
      <c r="B87" s="108">
        <v>3</v>
      </c>
      <c r="C87" s="51"/>
      <c r="D87" s="112"/>
      <c r="E87" s="152" t="s">
        <v>2080</v>
      </c>
      <c r="F87" s="147" t="s">
        <v>2053</v>
      </c>
      <c r="G87" s="159"/>
    </row>
    <row r="88" spans="1:7" s="1" customFormat="1" ht="15" x14ac:dyDescent="0.25">
      <c r="A88" s="64"/>
      <c r="B88" s="64"/>
      <c r="C88" s="112"/>
      <c r="D88" s="112"/>
      <c r="E88" s="112"/>
      <c r="F88" s="56"/>
      <c r="G88" s="150"/>
    </row>
  </sheetData>
  <sheetProtection algorithmName="SHA-512" hashValue="N4mbuqXvTHAvt7HlogJIO4E2YYVvxuQdq4Cnff9HfbjUqEhZA/kGR23dznJaWZk119SnUfGyuwrESlwsx3FgTQ==" saltValue="j+AsAVqVte2tAQ08dvTnrQ==" spinCount="100000" sheet="1" formatRows="0" selectLockedCells="1"/>
  <mergeCells count="8">
    <mergeCell ref="D59:E59"/>
    <mergeCell ref="D69:E69"/>
    <mergeCell ref="D79:E79"/>
    <mergeCell ref="C2:E2"/>
    <mergeCell ref="D4:E4"/>
    <mergeCell ref="D22:E22"/>
    <mergeCell ref="D36:E36"/>
    <mergeCell ref="D47:E47"/>
  </mergeCells>
  <conditionalFormatting sqref="E1:E1048576">
    <cfRule type="containsText" dxfId="11" priority="2" operator="containsText" text="Safeguard Scoring Complete">
      <formula>NOT(ISERROR(SEARCH("Safeguard Scoring Complete",E1)))</formula>
    </cfRule>
    <cfRule type="containsText" dxfId="10" priority="17" operator="containsText" text="Safeguard Scoring Incomplete">
      <formula>NOT(ISERROR(SEARCH("Safeguard Scoring Incomplete",E1)))</formula>
    </cfRule>
  </conditionalFormatting>
  <dataValidations count="3">
    <dataValidation type="list" allowBlank="1" showInputMessage="1" showErrorMessage="1" sqref="F2" xr:uid="{8E6D2F85-F28C-4ED2-B996-1D4A20A70998}">
      <formula1>"Assessed,Not Assessed"</formula1>
    </dataValidation>
    <dataValidation type="list" allowBlank="1" showInputMessage="1" showErrorMessage="1" sqref="F37 F48 F60 F70 F80 F25:F29 F7:F9" xr:uid="{1DF85957-4BF7-4714-92D5-4CEDA09259B4}">
      <formula1>"0,1"</formula1>
    </dataValidation>
    <dataValidation type="list" allowBlank="1" showInputMessage="1" showErrorMessage="1" sqref="E20 E34 E45 E57 E67 E77 E87" xr:uid="{E31B23B8-AC6B-45C8-A5D4-E1CFE2D41B6F}">
      <formula1>"Safeguard Scoring Complete,Safeguard Scoring Incomplete"</formula1>
    </dataValidation>
  </dataValidations>
  <hyperlinks>
    <hyperlink ref="G2" r:id="rId1" xr:uid="{DC967710-2DB8-4BA4-AB21-40022712C156}"/>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2DC7A388-8C09-4564-8B9B-4E13CCF6ED45}">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BE582-1289-40CA-A2E5-2E091E42383D}">
  <sheetPr codeName="Sheet19"/>
  <dimension ref="A2:G166"/>
  <sheetViews>
    <sheetView showGridLines="0" workbookViewId="0">
      <selection activeCell="F2" sqref="F2"/>
    </sheetView>
  </sheetViews>
  <sheetFormatPr defaultColWidth="9.140625" defaultRowHeight="15" x14ac:dyDescent="0.25"/>
  <cols>
    <col min="1" max="2" width="2.7109375" style="108" customWidth="1"/>
    <col min="3" max="3" width="5.7109375" style="54"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1797</v>
      </c>
      <c r="D2" s="214"/>
      <c r="E2" s="214"/>
      <c r="F2" s="100" t="s">
        <v>26</v>
      </c>
      <c r="G2" s="208" t="s">
        <v>2200</v>
      </c>
    </row>
    <row r="4" spans="1:7" x14ac:dyDescent="0.25">
      <c r="A4" s="108">
        <v>9</v>
      </c>
      <c r="B4" s="108">
        <v>2</v>
      </c>
      <c r="C4" s="52">
        <v>16.010000000000002</v>
      </c>
      <c r="D4" s="215" t="s">
        <v>1798</v>
      </c>
      <c r="E4" s="215"/>
      <c r="F4" s="27" t="s">
        <v>320</v>
      </c>
      <c r="G4" s="146" t="s">
        <v>321</v>
      </c>
    </row>
    <row r="5" spans="1:7" x14ac:dyDescent="0.25">
      <c r="A5" s="108">
        <v>9</v>
      </c>
      <c r="B5" s="108">
        <v>2</v>
      </c>
      <c r="C5" s="53"/>
      <c r="D5" s="28" t="s">
        <v>322</v>
      </c>
      <c r="E5" s="28" t="s">
        <v>1799</v>
      </c>
      <c r="F5" s="29">
        <f>IF(Artifacts!E31="Artifact Provided",1,0)</f>
        <v>0</v>
      </c>
      <c r="G5" s="76" t="s">
        <v>324</v>
      </c>
    </row>
    <row r="6" spans="1:7" x14ac:dyDescent="0.25">
      <c r="A6" s="108">
        <v>9</v>
      </c>
      <c r="B6" s="108">
        <v>2</v>
      </c>
      <c r="C6" s="53"/>
      <c r="D6" s="28" t="s">
        <v>327</v>
      </c>
      <c r="E6" s="28" t="s">
        <v>1800</v>
      </c>
      <c r="F6" s="124">
        <f>SUM(F7:F12)</f>
        <v>0</v>
      </c>
      <c r="G6" s="132"/>
    </row>
    <row r="7" spans="1:7" x14ac:dyDescent="0.25">
      <c r="A7" s="108">
        <v>9</v>
      </c>
      <c r="B7" s="108">
        <v>2</v>
      </c>
      <c r="C7" s="53"/>
      <c r="D7" s="28" t="s">
        <v>400</v>
      </c>
      <c r="E7" s="28" t="s">
        <v>1801</v>
      </c>
      <c r="F7" s="31"/>
      <c r="G7" s="78" t="s">
        <v>402</v>
      </c>
    </row>
    <row r="8" spans="1:7" x14ac:dyDescent="0.25">
      <c r="A8" s="108">
        <v>9</v>
      </c>
      <c r="B8" s="108">
        <v>2</v>
      </c>
      <c r="C8" s="53"/>
      <c r="D8" s="28" t="s">
        <v>403</v>
      </c>
      <c r="E8" s="28" t="s">
        <v>1802</v>
      </c>
      <c r="F8" s="31"/>
      <c r="G8" s="78" t="s">
        <v>402</v>
      </c>
    </row>
    <row r="9" spans="1:7" x14ac:dyDescent="0.25">
      <c r="A9" s="108">
        <v>9</v>
      </c>
      <c r="B9" s="108">
        <v>2</v>
      </c>
      <c r="C9" s="53"/>
      <c r="D9" s="28" t="s">
        <v>405</v>
      </c>
      <c r="E9" s="28" t="s">
        <v>1803</v>
      </c>
      <c r="F9" s="31"/>
      <c r="G9" s="78" t="s">
        <v>402</v>
      </c>
    </row>
    <row r="10" spans="1:7" x14ac:dyDescent="0.25">
      <c r="A10" s="108">
        <v>9</v>
      </c>
      <c r="B10" s="108">
        <v>2</v>
      </c>
      <c r="C10" s="53"/>
      <c r="D10" s="28" t="s">
        <v>407</v>
      </c>
      <c r="E10" s="28" t="s">
        <v>1804</v>
      </c>
      <c r="F10" s="31"/>
      <c r="G10" s="78" t="s">
        <v>402</v>
      </c>
    </row>
    <row r="11" spans="1:7" x14ac:dyDescent="0.25">
      <c r="A11" s="108">
        <v>9</v>
      </c>
      <c r="B11" s="108">
        <v>2</v>
      </c>
      <c r="C11" s="53"/>
      <c r="D11" s="28" t="s">
        <v>409</v>
      </c>
      <c r="E11" s="28" t="s">
        <v>1805</v>
      </c>
      <c r="F11" s="31"/>
      <c r="G11" s="78" t="s">
        <v>402</v>
      </c>
    </row>
    <row r="12" spans="1:7" x14ac:dyDescent="0.25">
      <c r="A12" s="108">
        <v>9</v>
      </c>
      <c r="B12" s="108">
        <v>2</v>
      </c>
      <c r="C12" s="53"/>
      <c r="D12" s="28" t="s">
        <v>411</v>
      </c>
      <c r="E12" s="28" t="s">
        <v>1806</v>
      </c>
      <c r="F12" s="31"/>
      <c r="G12" s="78" t="s">
        <v>402</v>
      </c>
    </row>
    <row r="13" spans="1:7" ht="15.75" thickBot="1" x14ac:dyDescent="0.25">
      <c r="A13" s="108">
        <v>9</v>
      </c>
      <c r="B13" s="108">
        <v>2</v>
      </c>
      <c r="C13" s="53"/>
      <c r="D13" s="28" t="s">
        <v>330</v>
      </c>
      <c r="E13" s="128" t="s">
        <v>1807</v>
      </c>
      <c r="F13" s="29">
        <f>DATEDIF(Artifacts!$F$31,GlobalSettings!$C$4,"m")</f>
        <v>1508</v>
      </c>
      <c r="G13" s="30"/>
    </row>
    <row r="14" spans="1:7" ht="15.75" thickBot="1" x14ac:dyDescent="0.3">
      <c r="A14" s="108">
        <v>9</v>
      </c>
      <c r="B14" s="108">
        <v>2</v>
      </c>
      <c r="E14" s="45" t="s">
        <v>1808</v>
      </c>
      <c r="F14" s="46">
        <f>IFERROR(F6/6,0)</f>
        <v>0</v>
      </c>
      <c r="G14" s="37" t="s">
        <v>1220</v>
      </c>
    </row>
    <row r="15" spans="1:7" ht="15.75" thickBot="1" x14ac:dyDescent="0.3">
      <c r="A15" s="108">
        <v>9</v>
      </c>
      <c r="B15" s="108">
        <v>2</v>
      </c>
      <c r="E15" s="47" t="s">
        <v>1809</v>
      </c>
      <c r="F15" s="44">
        <f>IF(F5=0,0,IF(F13&lt;=GlobalSettings!$C$8,F14,IF(GlobalSettings!$C$10="No",0,F14*(GlobalSettings!$C$6-0.01))))</f>
        <v>0</v>
      </c>
      <c r="G15" s="37" t="s">
        <v>1810</v>
      </c>
    </row>
    <row r="16" spans="1:7" x14ac:dyDescent="0.25">
      <c r="B16" s="108">
        <v>2</v>
      </c>
    </row>
    <row r="17" spans="1:7" s="1" customFormat="1" ht="45" customHeight="1" x14ac:dyDescent="0.25">
      <c r="A17" s="108">
        <v>9</v>
      </c>
      <c r="B17" s="108">
        <v>2</v>
      </c>
      <c r="C17" s="112"/>
      <c r="D17" s="112"/>
      <c r="E17" s="152" t="s">
        <v>2080</v>
      </c>
      <c r="F17" s="147" t="s">
        <v>2053</v>
      </c>
      <c r="G17" s="159"/>
    </row>
    <row r="18" spans="1:7" s="1" customFormat="1" x14ac:dyDescent="0.25">
      <c r="A18" s="64"/>
      <c r="B18" s="64"/>
      <c r="C18" s="112"/>
      <c r="D18" s="112"/>
      <c r="E18" s="112"/>
      <c r="F18" s="56"/>
      <c r="G18" s="150"/>
    </row>
    <row r="19" spans="1:7" x14ac:dyDescent="0.25">
      <c r="A19" s="108">
        <v>9</v>
      </c>
      <c r="B19" s="108">
        <v>2</v>
      </c>
      <c r="C19" s="52">
        <v>16.02</v>
      </c>
      <c r="D19" s="215" t="s">
        <v>290</v>
      </c>
      <c r="E19" s="215"/>
      <c r="F19" s="27" t="s">
        <v>320</v>
      </c>
      <c r="G19" s="146" t="s">
        <v>321</v>
      </c>
    </row>
    <row r="20" spans="1:7" x14ac:dyDescent="0.25">
      <c r="A20" s="108">
        <v>9</v>
      </c>
      <c r="B20" s="108">
        <v>2</v>
      </c>
      <c r="C20" s="53"/>
      <c r="D20" s="28" t="s">
        <v>322</v>
      </c>
      <c r="E20" s="28" t="s">
        <v>1811</v>
      </c>
      <c r="F20" s="29">
        <f>IF(Artifacts!E30="Artifact Provided",1,0)</f>
        <v>0</v>
      </c>
      <c r="G20" s="28"/>
    </row>
    <row r="21" spans="1:7" x14ac:dyDescent="0.25">
      <c r="A21" s="108">
        <v>9</v>
      </c>
      <c r="B21" s="108">
        <v>2</v>
      </c>
      <c r="C21" s="53"/>
      <c r="D21" s="28" t="s">
        <v>327</v>
      </c>
      <c r="E21" s="28" t="s">
        <v>1800</v>
      </c>
      <c r="F21" s="124">
        <f>SUM(F22:F28)</f>
        <v>0</v>
      </c>
      <c r="G21" s="30"/>
    </row>
    <row r="22" spans="1:7" x14ac:dyDescent="0.25">
      <c r="A22" s="108">
        <v>9</v>
      </c>
      <c r="B22" s="108">
        <v>2</v>
      </c>
      <c r="C22" s="53"/>
      <c r="D22" s="28" t="s">
        <v>400</v>
      </c>
      <c r="E22" s="28" t="s">
        <v>1812</v>
      </c>
      <c r="F22" s="31"/>
      <c r="G22" s="78" t="s">
        <v>402</v>
      </c>
    </row>
    <row r="23" spans="1:7" ht="30" x14ac:dyDescent="0.25">
      <c r="A23" s="108">
        <v>9</v>
      </c>
      <c r="B23" s="108">
        <v>2</v>
      </c>
      <c r="C23" s="53"/>
      <c r="D23" s="28" t="s">
        <v>403</v>
      </c>
      <c r="E23" s="28" t="s">
        <v>1813</v>
      </c>
      <c r="F23" s="31"/>
      <c r="G23" s="78" t="s">
        <v>402</v>
      </c>
    </row>
    <row r="24" spans="1:7" x14ac:dyDescent="0.25">
      <c r="A24" s="108">
        <v>9</v>
      </c>
      <c r="B24" s="108">
        <v>2</v>
      </c>
      <c r="C24" s="53"/>
      <c r="D24" s="28" t="s">
        <v>405</v>
      </c>
      <c r="E24" s="28" t="s">
        <v>1814</v>
      </c>
      <c r="F24" s="31"/>
      <c r="G24" s="78" t="s">
        <v>402</v>
      </c>
    </row>
    <row r="25" spans="1:7" x14ac:dyDescent="0.25">
      <c r="A25" s="108">
        <v>9</v>
      </c>
      <c r="B25" s="108">
        <v>2</v>
      </c>
      <c r="C25" s="53"/>
      <c r="D25" s="28" t="s">
        <v>407</v>
      </c>
      <c r="E25" s="28" t="s">
        <v>1815</v>
      </c>
      <c r="F25" s="31"/>
      <c r="G25" s="78" t="s">
        <v>402</v>
      </c>
    </row>
    <row r="26" spans="1:7" x14ac:dyDescent="0.25">
      <c r="A26" s="108">
        <v>9</v>
      </c>
      <c r="B26" s="108">
        <v>2</v>
      </c>
      <c r="C26" s="53"/>
      <c r="D26" s="28" t="s">
        <v>409</v>
      </c>
      <c r="E26" s="28" t="s">
        <v>1816</v>
      </c>
      <c r="F26" s="31"/>
      <c r="G26" s="78" t="s">
        <v>402</v>
      </c>
    </row>
    <row r="27" spans="1:7" x14ac:dyDescent="0.25">
      <c r="A27" s="108">
        <v>9</v>
      </c>
      <c r="B27" s="108">
        <v>2</v>
      </c>
      <c r="C27" s="53"/>
      <c r="D27" s="28" t="s">
        <v>411</v>
      </c>
      <c r="E27" s="28" t="s">
        <v>1817</v>
      </c>
      <c r="F27" s="31"/>
      <c r="G27" s="78" t="s">
        <v>402</v>
      </c>
    </row>
    <row r="28" spans="1:7" x14ac:dyDescent="0.25">
      <c r="A28" s="108">
        <v>9</v>
      </c>
      <c r="B28" s="108">
        <v>2</v>
      </c>
      <c r="C28" s="53"/>
      <c r="D28" s="28" t="s">
        <v>747</v>
      </c>
      <c r="E28" s="28" t="s">
        <v>1818</v>
      </c>
      <c r="F28" s="31"/>
      <c r="G28" s="78" t="s">
        <v>402</v>
      </c>
    </row>
    <row r="29" spans="1:7" ht="15.75" thickBot="1" x14ac:dyDescent="0.3">
      <c r="A29" s="108">
        <v>9</v>
      </c>
      <c r="B29" s="108">
        <v>2</v>
      </c>
      <c r="C29" s="53"/>
      <c r="D29" s="28" t="s">
        <v>330</v>
      </c>
      <c r="E29" s="28" t="s">
        <v>1807</v>
      </c>
      <c r="F29" s="29">
        <f>DATEDIF(Artifacts!$F$30,GlobalSettings!$C$4,"m")</f>
        <v>1508</v>
      </c>
      <c r="G29" s="28"/>
    </row>
    <row r="30" spans="1:7" ht="15.75" thickBot="1" x14ac:dyDescent="0.3">
      <c r="A30" s="108">
        <v>9</v>
      </c>
      <c r="B30" s="108">
        <v>2</v>
      </c>
      <c r="E30" s="45" t="s">
        <v>1808</v>
      </c>
      <c r="F30" s="46">
        <f>IFERROR(F21/7,0)</f>
        <v>0</v>
      </c>
      <c r="G30" s="37" t="s">
        <v>1819</v>
      </c>
    </row>
    <row r="31" spans="1:7" ht="15.75" thickBot="1" x14ac:dyDescent="0.3">
      <c r="A31" s="108">
        <v>9</v>
      </c>
      <c r="B31" s="108">
        <v>2</v>
      </c>
      <c r="E31" s="47" t="s">
        <v>1820</v>
      </c>
      <c r="F31" s="44">
        <f>IF(F20=0,0,IF(F29&lt;=GlobalSettings!$C$8,F30,IF(GlobalSettings!$C$10="No",0,F30*(GlobalSettings!$C$6-0.01))))</f>
        <v>0</v>
      </c>
      <c r="G31" s="37" t="s">
        <v>1810</v>
      </c>
    </row>
    <row r="33" spans="1:7" s="1" customFormat="1" ht="45" customHeight="1" x14ac:dyDescent="0.25">
      <c r="A33" s="108">
        <v>9</v>
      </c>
      <c r="B33" s="108">
        <v>2</v>
      </c>
      <c r="C33" s="54"/>
      <c r="D33" s="112"/>
      <c r="E33" s="152" t="s">
        <v>2080</v>
      </c>
      <c r="F33" s="147" t="s">
        <v>2053</v>
      </c>
      <c r="G33" s="159"/>
    </row>
    <row r="34" spans="1:7" s="1" customFormat="1" x14ac:dyDescent="0.25">
      <c r="A34" s="64"/>
      <c r="B34" s="64"/>
      <c r="C34" s="112"/>
      <c r="D34" s="112"/>
      <c r="E34" s="112"/>
      <c r="F34" s="56"/>
      <c r="G34" s="150"/>
    </row>
    <row r="35" spans="1:7" x14ac:dyDescent="0.25">
      <c r="A35" s="108">
        <v>9</v>
      </c>
      <c r="B35" s="108">
        <v>2</v>
      </c>
      <c r="C35" s="52">
        <v>16.03</v>
      </c>
      <c r="D35" s="215" t="s">
        <v>291</v>
      </c>
      <c r="E35" s="215"/>
      <c r="F35" s="27" t="s">
        <v>320</v>
      </c>
      <c r="G35" s="146" t="s">
        <v>321</v>
      </c>
    </row>
    <row r="36" spans="1:7" x14ac:dyDescent="0.25">
      <c r="A36" s="108">
        <v>9</v>
      </c>
      <c r="B36" s="108">
        <v>2</v>
      </c>
      <c r="C36" s="53"/>
      <c r="D36" s="28" t="s">
        <v>322</v>
      </c>
      <c r="E36" s="28" t="s">
        <v>1821</v>
      </c>
      <c r="F36" s="31"/>
      <c r="G36" s="78" t="s">
        <v>402</v>
      </c>
    </row>
    <row r="37" spans="1:7" x14ac:dyDescent="0.25">
      <c r="A37" s="108">
        <v>9</v>
      </c>
      <c r="B37" s="108">
        <v>2</v>
      </c>
      <c r="C37" s="53"/>
      <c r="D37" s="28" t="s">
        <v>327</v>
      </c>
      <c r="E37" s="28" t="s">
        <v>1800</v>
      </c>
      <c r="F37" s="124">
        <f>SUM(F38:F39)</f>
        <v>0</v>
      </c>
      <c r="G37" s="132"/>
    </row>
    <row r="38" spans="1:7" ht="30" x14ac:dyDescent="0.25">
      <c r="A38" s="108">
        <v>9</v>
      </c>
      <c r="B38" s="108">
        <v>2</v>
      </c>
      <c r="C38" s="53"/>
      <c r="D38" s="28" t="s">
        <v>400</v>
      </c>
      <c r="E38" s="28" t="s">
        <v>1822</v>
      </c>
      <c r="F38" s="31"/>
      <c r="G38" s="78" t="s">
        <v>402</v>
      </c>
    </row>
    <row r="39" spans="1:7" ht="30" x14ac:dyDescent="0.25">
      <c r="A39" s="108">
        <v>9</v>
      </c>
      <c r="B39" s="108">
        <v>2</v>
      </c>
      <c r="C39" s="53"/>
      <c r="D39" s="28" t="s">
        <v>403</v>
      </c>
      <c r="E39" s="28" t="s">
        <v>1823</v>
      </c>
      <c r="F39" s="31"/>
      <c r="G39" s="78" t="s">
        <v>402</v>
      </c>
    </row>
    <row r="40" spans="1:7" x14ac:dyDescent="0.25">
      <c r="A40" s="108">
        <v>9</v>
      </c>
      <c r="B40" s="108">
        <v>2</v>
      </c>
      <c r="C40" s="53"/>
      <c r="D40" s="28" t="s">
        <v>330</v>
      </c>
      <c r="E40" s="28" t="s">
        <v>1824</v>
      </c>
      <c r="F40" s="31"/>
      <c r="G40" s="32"/>
    </row>
    <row r="41" spans="1:7" x14ac:dyDescent="0.25">
      <c r="A41" s="108">
        <v>9</v>
      </c>
      <c r="B41" s="108">
        <v>2</v>
      </c>
      <c r="C41" s="53"/>
      <c r="D41" s="28" t="s">
        <v>332</v>
      </c>
      <c r="E41" s="28" t="s">
        <v>1825</v>
      </c>
      <c r="F41" s="31"/>
      <c r="G41" s="32" t="s">
        <v>1826</v>
      </c>
    </row>
    <row r="42" spans="1:7" ht="15.75" thickBot="1" x14ac:dyDescent="0.3">
      <c r="A42" s="108">
        <v>9</v>
      </c>
      <c r="B42" s="108">
        <v>2</v>
      </c>
      <c r="C42" s="53"/>
      <c r="D42" s="28" t="s">
        <v>335</v>
      </c>
      <c r="E42" s="28" t="s">
        <v>1827</v>
      </c>
      <c r="F42" s="124">
        <f>IFERROR(F40-F41,0)</f>
        <v>0</v>
      </c>
      <c r="G42" s="30" t="s">
        <v>1828</v>
      </c>
    </row>
    <row r="43" spans="1:7" ht="15.75" thickBot="1" x14ac:dyDescent="0.3">
      <c r="A43" s="108">
        <v>9</v>
      </c>
      <c r="B43" s="108">
        <v>2</v>
      </c>
      <c r="E43" s="45" t="s">
        <v>1808</v>
      </c>
      <c r="F43" s="46">
        <f>IFERROR(F37/2,0)</f>
        <v>0</v>
      </c>
      <c r="G43" s="37" t="s">
        <v>1829</v>
      </c>
    </row>
    <row r="44" spans="1:7" ht="15.75" thickBot="1" x14ac:dyDescent="0.3">
      <c r="A44" s="108">
        <v>9</v>
      </c>
      <c r="B44" s="108">
        <v>2</v>
      </c>
      <c r="E44" s="45" t="s">
        <v>1830</v>
      </c>
      <c r="F44" s="46">
        <f>IFERROR(F41/F40,0)</f>
        <v>0</v>
      </c>
      <c r="G44" s="37" t="s">
        <v>380</v>
      </c>
    </row>
    <row r="45" spans="1:7" ht="15.75" thickBot="1" x14ac:dyDescent="0.3">
      <c r="A45" s="108">
        <v>9</v>
      </c>
      <c r="B45" s="108">
        <v>2</v>
      </c>
      <c r="E45" s="47" t="s">
        <v>1831</v>
      </c>
      <c r="F45" s="44">
        <f>(IF(F36=0,0,AVERAGE(F43:F44)))</f>
        <v>0</v>
      </c>
      <c r="G45" s="37" t="s">
        <v>1832</v>
      </c>
    </row>
    <row r="47" spans="1:7" s="1" customFormat="1" ht="45" customHeight="1" x14ac:dyDescent="0.25">
      <c r="A47" s="108">
        <v>9</v>
      </c>
      <c r="B47" s="108">
        <v>2</v>
      </c>
      <c r="C47" s="54"/>
      <c r="D47" s="112"/>
      <c r="E47" s="152" t="s">
        <v>2080</v>
      </c>
      <c r="F47" s="147" t="s">
        <v>2053</v>
      </c>
      <c r="G47" s="159"/>
    </row>
    <row r="48" spans="1:7" s="1" customFormat="1" x14ac:dyDescent="0.25">
      <c r="A48" s="64"/>
      <c r="B48" s="64"/>
      <c r="C48" s="112"/>
      <c r="D48" s="112"/>
      <c r="E48" s="112"/>
      <c r="F48" s="56"/>
      <c r="G48" s="150"/>
    </row>
    <row r="49" spans="1:7" x14ac:dyDescent="0.25">
      <c r="A49" s="108">
        <v>9</v>
      </c>
      <c r="B49" s="108">
        <v>2</v>
      </c>
      <c r="C49" s="52">
        <v>16.04</v>
      </c>
      <c r="D49" s="215" t="s">
        <v>292</v>
      </c>
      <c r="E49" s="215"/>
      <c r="F49" s="27" t="s">
        <v>320</v>
      </c>
      <c r="G49" s="146" t="s">
        <v>321</v>
      </c>
    </row>
    <row r="50" spans="1:7" x14ac:dyDescent="0.25">
      <c r="A50" s="108">
        <v>9</v>
      </c>
      <c r="B50" s="108">
        <v>2</v>
      </c>
      <c r="C50" s="53"/>
      <c r="D50" s="28" t="s">
        <v>322</v>
      </c>
      <c r="E50" s="28" t="s">
        <v>1833</v>
      </c>
      <c r="F50" s="29">
        <f>IF(Artifacts!E29="Artifact Provided",1,0)</f>
        <v>0</v>
      </c>
      <c r="G50" s="30"/>
    </row>
    <row r="51" spans="1:7" x14ac:dyDescent="0.25">
      <c r="A51" s="108">
        <v>9</v>
      </c>
      <c r="B51" s="108">
        <v>2</v>
      </c>
      <c r="C51" s="53"/>
      <c r="D51" s="28" t="s">
        <v>327</v>
      </c>
      <c r="E51" s="28" t="s">
        <v>1834</v>
      </c>
      <c r="F51" s="31"/>
      <c r="G51" s="32"/>
    </row>
    <row r="52" spans="1:7" x14ac:dyDescent="0.25">
      <c r="A52" s="108">
        <v>9</v>
      </c>
      <c r="B52" s="108">
        <v>2</v>
      </c>
      <c r="C52" s="53"/>
      <c r="D52" s="28" t="s">
        <v>330</v>
      </c>
      <c r="E52" s="28" t="s">
        <v>1835</v>
      </c>
      <c r="F52" s="124">
        <f>SUM(F53:F54)</f>
        <v>0</v>
      </c>
      <c r="G52" s="30"/>
    </row>
    <row r="53" spans="1:7" ht="30" x14ac:dyDescent="0.25">
      <c r="A53" s="108">
        <v>9</v>
      </c>
      <c r="B53" s="108">
        <v>2</v>
      </c>
      <c r="C53" s="53"/>
      <c r="D53" s="28" t="s">
        <v>868</v>
      </c>
      <c r="E53" s="28" t="s">
        <v>1836</v>
      </c>
      <c r="F53" s="31"/>
      <c r="G53" s="78" t="s">
        <v>402</v>
      </c>
    </row>
    <row r="54" spans="1:7" ht="30" x14ac:dyDescent="0.25">
      <c r="A54" s="108">
        <v>9</v>
      </c>
      <c r="B54" s="108">
        <v>2</v>
      </c>
      <c r="C54" s="53"/>
      <c r="D54" s="28" t="s">
        <v>870</v>
      </c>
      <c r="E54" s="28" t="s">
        <v>1837</v>
      </c>
      <c r="F54" s="31"/>
      <c r="G54" s="78" t="s">
        <v>402</v>
      </c>
    </row>
    <row r="55" spans="1:7" x14ac:dyDescent="0.25">
      <c r="A55" s="108">
        <v>9</v>
      </c>
      <c r="B55" s="108">
        <v>2</v>
      </c>
      <c r="C55" s="53"/>
      <c r="D55" s="28" t="s">
        <v>332</v>
      </c>
      <c r="E55" s="28" t="s">
        <v>1838</v>
      </c>
      <c r="F55" s="124">
        <f>IFERROR(F51-F52,0)</f>
        <v>0</v>
      </c>
      <c r="G55" s="30"/>
    </row>
    <row r="56" spans="1:7" ht="15.75" thickBot="1" x14ac:dyDescent="0.3">
      <c r="A56" s="108">
        <v>9</v>
      </c>
      <c r="B56" s="108">
        <v>2</v>
      </c>
      <c r="C56" s="53"/>
      <c r="D56" s="28" t="s">
        <v>335</v>
      </c>
      <c r="E56" s="28" t="s">
        <v>1839</v>
      </c>
      <c r="F56" s="29">
        <f>DATEDIF(Artifacts!$F$29,GlobalSettings!$C$4,"m")</f>
        <v>1508</v>
      </c>
      <c r="G56" s="30"/>
    </row>
    <row r="57" spans="1:7" ht="15.75" thickBot="1" x14ac:dyDescent="0.3">
      <c r="A57" s="108">
        <v>9</v>
      </c>
      <c r="B57" s="108">
        <v>2</v>
      </c>
      <c r="E57" s="45" t="s">
        <v>1840</v>
      </c>
      <c r="F57" s="46">
        <f>IFERROR(F52/F51,0)</f>
        <v>0</v>
      </c>
      <c r="G57" s="37" t="s">
        <v>348</v>
      </c>
    </row>
    <row r="58" spans="1:7" ht="15.75" thickBot="1" x14ac:dyDescent="0.3">
      <c r="A58" s="108">
        <v>9</v>
      </c>
      <c r="B58" s="108">
        <v>2</v>
      </c>
      <c r="E58" s="47" t="s">
        <v>1841</v>
      </c>
      <c r="F58" s="44">
        <f>IF(F50=0,0,IF(F56&lt;=12,F57,IF(GlobalSettings!$C$12="No",0,F57*0.5)))</f>
        <v>0</v>
      </c>
      <c r="G58" s="37" t="s">
        <v>2075</v>
      </c>
    </row>
    <row r="60" spans="1:7" s="1" customFormat="1" ht="45" customHeight="1" x14ac:dyDescent="0.25">
      <c r="A60" s="108">
        <v>9</v>
      </c>
      <c r="B60" s="108">
        <v>2</v>
      </c>
      <c r="C60" s="54"/>
      <c r="D60" s="112"/>
      <c r="E60" s="152" t="s">
        <v>2080</v>
      </c>
      <c r="F60" s="147" t="s">
        <v>2053</v>
      </c>
      <c r="G60" s="159"/>
    </row>
    <row r="61" spans="1:7" s="1" customFormat="1" x14ac:dyDescent="0.25">
      <c r="A61" s="64"/>
      <c r="B61" s="64"/>
      <c r="C61" s="112"/>
      <c r="D61" s="112"/>
      <c r="E61" s="112"/>
      <c r="F61" s="56"/>
      <c r="G61" s="150"/>
    </row>
    <row r="62" spans="1:7" x14ac:dyDescent="0.25">
      <c r="A62" s="108">
        <v>9</v>
      </c>
      <c r="B62" s="108">
        <v>2</v>
      </c>
      <c r="C62" s="52">
        <v>16.05</v>
      </c>
      <c r="D62" s="215" t="s">
        <v>293</v>
      </c>
      <c r="E62" s="215"/>
      <c r="F62" s="27" t="s">
        <v>320</v>
      </c>
      <c r="G62" s="146" t="s">
        <v>321</v>
      </c>
    </row>
    <row r="63" spans="1:7" x14ac:dyDescent="0.25">
      <c r="A63" s="108">
        <v>9</v>
      </c>
      <c r="B63" s="108">
        <v>2</v>
      </c>
      <c r="C63" s="53"/>
      <c r="D63" s="28" t="s">
        <v>322</v>
      </c>
      <c r="E63" s="28" t="s">
        <v>1842</v>
      </c>
      <c r="F63" s="31"/>
      <c r="G63" s="32" t="s">
        <v>1843</v>
      </c>
    </row>
    <row r="64" spans="1:7" x14ac:dyDescent="0.25">
      <c r="A64" s="108">
        <v>9</v>
      </c>
      <c r="B64" s="108">
        <v>2</v>
      </c>
      <c r="C64" s="53"/>
      <c r="D64" s="28" t="s">
        <v>327</v>
      </c>
      <c r="E64" s="28" t="s">
        <v>1844</v>
      </c>
      <c r="F64" s="31"/>
      <c r="G64" s="32" t="s">
        <v>1845</v>
      </c>
    </row>
    <row r="65" spans="1:7" x14ac:dyDescent="0.25">
      <c r="A65" s="108">
        <v>9</v>
      </c>
      <c r="B65" s="108">
        <v>2</v>
      </c>
      <c r="C65" s="53"/>
      <c r="D65" s="28" t="s">
        <v>330</v>
      </c>
      <c r="E65" s="28" t="s">
        <v>1846</v>
      </c>
      <c r="F65" s="31"/>
      <c r="G65" s="32" t="s">
        <v>1847</v>
      </c>
    </row>
    <row r="66" spans="1:7" ht="15.75" thickBot="1" x14ac:dyDescent="0.3">
      <c r="A66" s="108">
        <v>9</v>
      </c>
      <c r="B66" s="108">
        <v>2</v>
      </c>
      <c r="C66" s="53"/>
      <c r="D66" s="28" t="s">
        <v>332</v>
      </c>
      <c r="E66" s="28" t="s">
        <v>1848</v>
      </c>
      <c r="F66" s="31"/>
      <c r="G66" s="32" t="s">
        <v>1849</v>
      </c>
    </row>
    <row r="67" spans="1:7" ht="15.75" thickBot="1" x14ac:dyDescent="0.3">
      <c r="A67" s="108">
        <v>9</v>
      </c>
      <c r="B67" s="108">
        <v>2</v>
      </c>
      <c r="E67" s="45" t="s">
        <v>1850</v>
      </c>
      <c r="F67" s="46">
        <f>IFERROR(F66/F63,0)</f>
        <v>0</v>
      </c>
      <c r="G67" s="37" t="s">
        <v>434</v>
      </c>
    </row>
    <row r="68" spans="1:7" ht="15.75" thickBot="1" x14ac:dyDescent="0.3">
      <c r="A68" s="108">
        <v>9</v>
      </c>
      <c r="B68" s="108">
        <v>2</v>
      </c>
      <c r="E68" s="47" t="s">
        <v>1851</v>
      </c>
      <c r="F68" s="44">
        <f>F67</f>
        <v>0</v>
      </c>
      <c r="G68" s="37"/>
    </row>
    <row r="70" spans="1:7" s="1" customFormat="1" ht="45" customHeight="1" x14ac:dyDescent="0.25">
      <c r="A70" s="108">
        <v>9</v>
      </c>
      <c r="B70" s="108">
        <v>2</v>
      </c>
      <c r="C70" s="54"/>
      <c r="D70" s="112"/>
      <c r="E70" s="152" t="s">
        <v>2080</v>
      </c>
      <c r="F70" s="147" t="s">
        <v>2053</v>
      </c>
      <c r="G70" s="159"/>
    </row>
    <row r="71" spans="1:7" s="1" customFormat="1" x14ac:dyDescent="0.25">
      <c r="A71" s="64"/>
      <c r="B71" s="64"/>
      <c r="C71" s="112"/>
      <c r="D71" s="112"/>
      <c r="E71" s="112"/>
      <c r="F71" s="56"/>
      <c r="G71" s="150"/>
    </row>
    <row r="72" spans="1:7" x14ac:dyDescent="0.25">
      <c r="A72" s="108">
        <v>9</v>
      </c>
      <c r="B72" s="108">
        <v>2</v>
      </c>
      <c r="C72" s="52">
        <v>16.059999999999999</v>
      </c>
      <c r="D72" s="215" t="s">
        <v>294</v>
      </c>
      <c r="E72" s="215"/>
      <c r="F72" s="27" t="s">
        <v>320</v>
      </c>
      <c r="G72" s="146" t="s">
        <v>321</v>
      </c>
    </row>
    <row r="73" spans="1:7" ht="30" x14ac:dyDescent="0.25">
      <c r="A73" s="108">
        <v>9</v>
      </c>
      <c r="B73" s="108">
        <v>2</v>
      </c>
      <c r="C73" s="53"/>
      <c r="D73" s="28" t="s">
        <v>322</v>
      </c>
      <c r="E73" s="28" t="s">
        <v>1852</v>
      </c>
      <c r="F73" s="124">
        <f>IF(Artifacts!$E$30="Artifact Provided",1,0)</f>
        <v>0</v>
      </c>
      <c r="G73" s="76"/>
    </row>
    <row r="74" spans="1:7" x14ac:dyDescent="0.25">
      <c r="A74" s="108">
        <v>9</v>
      </c>
      <c r="B74" s="108">
        <v>2</v>
      </c>
      <c r="C74" s="53"/>
      <c r="D74" s="28" t="s">
        <v>327</v>
      </c>
      <c r="E74" s="28" t="s">
        <v>1853</v>
      </c>
      <c r="F74" s="31"/>
      <c r="G74" s="32" t="s">
        <v>1854</v>
      </c>
    </row>
    <row r="75" spans="1:7" ht="15.75" thickBot="1" x14ac:dyDescent="0.3">
      <c r="A75" s="108">
        <v>9</v>
      </c>
      <c r="B75" s="108">
        <v>2</v>
      </c>
      <c r="C75" s="53"/>
      <c r="D75" s="28" t="s">
        <v>330</v>
      </c>
      <c r="E75" s="28" t="s">
        <v>1807</v>
      </c>
      <c r="F75" s="124">
        <f>DATEDIF(Artifacts!$F$30,GlobalSettings!$C$4,"m")</f>
        <v>1508</v>
      </c>
      <c r="G75" s="30"/>
    </row>
    <row r="76" spans="1:7" ht="15.75" thickBot="1" x14ac:dyDescent="0.3">
      <c r="A76" s="108">
        <v>9</v>
      </c>
      <c r="B76" s="108">
        <v>2</v>
      </c>
      <c r="E76" s="45" t="s">
        <v>1808</v>
      </c>
      <c r="F76" s="46">
        <f>IFERROR(F74/2,0)</f>
        <v>0</v>
      </c>
      <c r="G76" s="37" t="s">
        <v>1829</v>
      </c>
    </row>
    <row r="77" spans="1:7" ht="15.75" thickBot="1" x14ac:dyDescent="0.3">
      <c r="A77" s="108">
        <v>9</v>
      </c>
      <c r="B77" s="108">
        <v>2</v>
      </c>
      <c r="E77" s="47" t="s">
        <v>1855</v>
      </c>
      <c r="F77" s="44">
        <f>IF(F73=0,0,IF(F75&lt;=GlobalSettings!$C$8,F76,0))</f>
        <v>0</v>
      </c>
      <c r="G77" s="37"/>
    </row>
    <row r="79" spans="1:7" s="1" customFormat="1" ht="45" customHeight="1" x14ac:dyDescent="0.25">
      <c r="A79" s="108">
        <v>9</v>
      </c>
      <c r="B79" s="108">
        <v>2</v>
      </c>
      <c r="C79" s="54"/>
      <c r="D79" s="112"/>
      <c r="E79" s="152" t="s">
        <v>2080</v>
      </c>
      <c r="F79" s="147" t="s">
        <v>2053</v>
      </c>
      <c r="G79" s="159"/>
    </row>
    <row r="80" spans="1:7" s="1" customFormat="1" x14ac:dyDescent="0.25">
      <c r="A80" s="64"/>
      <c r="B80" s="64"/>
      <c r="C80" s="112"/>
      <c r="D80" s="112"/>
      <c r="E80" s="112"/>
      <c r="F80" s="56"/>
      <c r="G80" s="150"/>
    </row>
    <row r="81" spans="1:7" x14ac:dyDescent="0.25">
      <c r="A81" s="108">
        <v>9</v>
      </c>
      <c r="B81" s="108">
        <v>2</v>
      </c>
      <c r="C81" s="52">
        <v>16.07</v>
      </c>
      <c r="D81" s="215" t="s">
        <v>295</v>
      </c>
      <c r="E81" s="215"/>
      <c r="F81" s="27" t="s">
        <v>320</v>
      </c>
      <c r="G81" s="146" t="s">
        <v>321</v>
      </c>
    </row>
    <row r="82" spans="1:7" x14ac:dyDescent="0.25">
      <c r="A82" s="108">
        <v>9</v>
      </c>
      <c r="B82" s="108">
        <v>2</v>
      </c>
      <c r="C82" s="53"/>
      <c r="D82" s="28" t="s">
        <v>322</v>
      </c>
      <c r="E82" s="28" t="s">
        <v>1856</v>
      </c>
      <c r="F82" s="31"/>
      <c r="G82" s="32" t="s">
        <v>1857</v>
      </c>
    </row>
    <row r="83" spans="1:7" x14ac:dyDescent="0.25">
      <c r="A83" s="108">
        <v>9</v>
      </c>
      <c r="B83" s="108">
        <v>2</v>
      </c>
      <c r="C83" s="53"/>
      <c r="D83" s="28" t="s">
        <v>327</v>
      </c>
      <c r="E83" s="28" t="s">
        <v>1858</v>
      </c>
      <c r="F83" s="31"/>
      <c r="G83" s="32" t="s">
        <v>1859</v>
      </c>
    </row>
    <row r="84" spans="1:7" ht="15.75" thickBot="1" x14ac:dyDescent="0.3">
      <c r="A84" s="108">
        <v>9</v>
      </c>
      <c r="B84" s="108">
        <v>2</v>
      </c>
      <c r="C84" s="53"/>
      <c r="D84" s="28" t="s">
        <v>330</v>
      </c>
      <c r="E84" s="28" t="s">
        <v>1860</v>
      </c>
      <c r="F84" s="29">
        <f>F82-F83</f>
        <v>0</v>
      </c>
      <c r="G84" s="30" t="s">
        <v>1861</v>
      </c>
    </row>
    <row r="85" spans="1:7" ht="30.75" thickBot="1" x14ac:dyDescent="0.3">
      <c r="A85" s="108">
        <v>9</v>
      </c>
      <c r="B85" s="108">
        <v>2</v>
      </c>
      <c r="E85" s="45" t="s">
        <v>1862</v>
      </c>
      <c r="F85" s="46">
        <f>IFERROR(F83/F82,0)</f>
        <v>0</v>
      </c>
      <c r="G85" s="37" t="s">
        <v>378</v>
      </c>
    </row>
    <row r="86" spans="1:7" ht="15.75" thickBot="1" x14ac:dyDescent="0.3">
      <c r="A86" s="108">
        <v>9</v>
      </c>
      <c r="B86" s="108">
        <v>2</v>
      </c>
      <c r="E86" s="47" t="s">
        <v>1863</v>
      </c>
      <c r="F86" s="44">
        <f>F85</f>
        <v>0</v>
      </c>
      <c r="G86" s="37"/>
    </row>
    <row r="88" spans="1:7" s="1" customFormat="1" ht="45" customHeight="1" x14ac:dyDescent="0.25">
      <c r="A88" s="108">
        <v>9</v>
      </c>
      <c r="B88" s="108">
        <v>2</v>
      </c>
      <c r="C88" s="54"/>
      <c r="D88" s="112"/>
      <c r="E88" s="152" t="s">
        <v>2080</v>
      </c>
      <c r="F88" s="147" t="s">
        <v>2053</v>
      </c>
      <c r="G88" s="159"/>
    </row>
    <row r="89" spans="1:7" s="1" customFormat="1" x14ac:dyDescent="0.25">
      <c r="A89" s="64"/>
      <c r="B89" s="64"/>
      <c r="C89" s="112"/>
      <c r="D89" s="112"/>
      <c r="E89" s="112"/>
      <c r="F89" s="56"/>
      <c r="G89" s="150"/>
    </row>
    <row r="90" spans="1:7" x14ac:dyDescent="0.25">
      <c r="A90" s="108">
        <v>9</v>
      </c>
      <c r="B90" s="108">
        <v>2</v>
      </c>
      <c r="C90" s="52">
        <v>16.079999999999998</v>
      </c>
      <c r="D90" s="215" t="s">
        <v>296</v>
      </c>
      <c r="E90" s="215"/>
      <c r="F90" s="27" t="s">
        <v>320</v>
      </c>
      <c r="G90" s="146" t="s">
        <v>321</v>
      </c>
    </row>
    <row r="91" spans="1:7" x14ac:dyDescent="0.25">
      <c r="A91" s="108">
        <v>9</v>
      </c>
      <c r="B91" s="108">
        <v>2</v>
      </c>
      <c r="C91" s="53"/>
      <c r="D91" s="28" t="s">
        <v>322</v>
      </c>
      <c r="E91" s="28" t="s">
        <v>1864</v>
      </c>
      <c r="F91" s="31"/>
      <c r="G91" s="32" t="s">
        <v>1865</v>
      </c>
    </row>
    <row r="92" spans="1:7" x14ac:dyDescent="0.25">
      <c r="A92" s="108">
        <v>9</v>
      </c>
      <c r="B92" s="108">
        <v>2</v>
      </c>
      <c r="C92" s="53"/>
      <c r="D92" s="28" t="s">
        <v>327</v>
      </c>
      <c r="E92" s="28" t="s">
        <v>1866</v>
      </c>
      <c r="F92" s="31"/>
      <c r="G92" s="32" t="s">
        <v>1867</v>
      </c>
    </row>
    <row r="93" spans="1:7" ht="15.75" thickBot="1" x14ac:dyDescent="0.3">
      <c r="A93" s="108">
        <v>9</v>
      </c>
      <c r="B93" s="108">
        <v>2</v>
      </c>
      <c r="C93" s="53"/>
      <c r="D93" s="28" t="s">
        <v>330</v>
      </c>
      <c r="E93" s="28" t="s">
        <v>1868</v>
      </c>
      <c r="F93" s="29">
        <f>F91-F92</f>
        <v>0</v>
      </c>
      <c r="G93" s="30" t="s">
        <v>1869</v>
      </c>
    </row>
    <row r="94" spans="1:7" ht="15.75" thickBot="1" x14ac:dyDescent="0.3">
      <c r="A94" s="108">
        <v>9</v>
      </c>
      <c r="B94" s="108">
        <v>2</v>
      </c>
      <c r="E94" s="45" t="s">
        <v>1870</v>
      </c>
      <c r="F94" s="46">
        <f>IFERROR(F92/F91,0)</f>
        <v>0</v>
      </c>
      <c r="G94" s="37" t="s">
        <v>378</v>
      </c>
    </row>
    <row r="95" spans="1:7" ht="15.75" thickBot="1" x14ac:dyDescent="0.3">
      <c r="A95" s="108">
        <v>9</v>
      </c>
      <c r="B95" s="108">
        <v>2</v>
      </c>
      <c r="E95" s="47" t="s">
        <v>1871</v>
      </c>
      <c r="F95" s="44">
        <f>F94</f>
        <v>0</v>
      </c>
      <c r="G95" s="37"/>
    </row>
    <row r="97" spans="1:7" s="1" customFormat="1" ht="45" customHeight="1" x14ac:dyDescent="0.25">
      <c r="A97" s="108">
        <v>9</v>
      </c>
      <c r="B97" s="108">
        <v>2</v>
      </c>
      <c r="C97" s="54"/>
      <c r="D97" s="112"/>
      <c r="E97" s="152" t="s">
        <v>2080</v>
      </c>
      <c r="F97" s="147" t="s">
        <v>2053</v>
      </c>
      <c r="G97" s="159"/>
    </row>
    <row r="98" spans="1:7" s="1" customFormat="1" x14ac:dyDescent="0.25">
      <c r="A98" s="64"/>
      <c r="B98" s="64"/>
      <c r="C98" s="112"/>
      <c r="D98" s="112"/>
      <c r="E98" s="112"/>
      <c r="F98" s="56"/>
      <c r="G98" s="150"/>
    </row>
    <row r="99" spans="1:7" x14ac:dyDescent="0.25">
      <c r="A99" s="108">
        <v>9</v>
      </c>
      <c r="B99" s="108">
        <v>2</v>
      </c>
      <c r="C99" s="52">
        <v>16.09</v>
      </c>
      <c r="D99" s="215" t="s">
        <v>297</v>
      </c>
      <c r="E99" s="215"/>
      <c r="F99" s="27" t="s">
        <v>320</v>
      </c>
      <c r="G99" s="146" t="s">
        <v>321</v>
      </c>
    </row>
    <row r="100" spans="1:7" x14ac:dyDescent="0.25">
      <c r="A100" s="108">
        <v>9</v>
      </c>
      <c r="B100" s="108">
        <v>2</v>
      </c>
      <c r="C100" s="53"/>
      <c r="D100" s="28" t="s">
        <v>322</v>
      </c>
      <c r="E100" s="28" t="s">
        <v>1872</v>
      </c>
      <c r="F100" s="31"/>
      <c r="G100" s="32"/>
    </row>
    <row r="101" spans="1:7" x14ac:dyDescent="0.25">
      <c r="A101" s="108">
        <v>9</v>
      </c>
      <c r="B101" s="108">
        <v>2</v>
      </c>
      <c r="C101" s="53"/>
      <c r="D101" s="28" t="s">
        <v>327</v>
      </c>
      <c r="E101" s="28" t="s">
        <v>1873</v>
      </c>
      <c r="F101" s="31"/>
      <c r="G101" s="32" t="s">
        <v>1874</v>
      </c>
    </row>
    <row r="102" spans="1:7" x14ac:dyDescent="0.25">
      <c r="A102" s="108">
        <v>9</v>
      </c>
      <c r="B102" s="108">
        <v>2</v>
      </c>
      <c r="C102" s="53"/>
      <c r="D102" s="28" t="s">
        <v>330</v>
      </c>
      <c r="E102" s="28" t="s">
        <v>1875</v>
      </c>
      <c r="F102" s="124">
        <f>F100-F101</f>
        <v>0</v>
      </c>
      <c r="G102" s="132" t="s">
        <v>1876</v>
      </c>
    </row>
    <row r="103" spans="1:7" x14ac:dyDescent="0.25">
      <c r="A103" s="108">
        <v>9</v>
      </c>
      <c r="B103" s="108">
        <v>2</v>
      </c>
      <c r="C103" s="53"/>
      <c r="D103" s="28" t="s">
        <v>332</v>
      </c>
      <c r="E103" s="28" t="s">
        <v>1877</v>
      </c>
      <c r="F103" s="31"/>
      <c r="G103" s="32" t="s">
        <v>1878</v>
      </c>
    </row>
    <row r="104" spans="1:7" ht="15.75" thickBot="1" x14ac:dyDescent="0.3">
      <c r="A104" s="108">
        <v>9</v>
      </c>
      <c r="B104" s="108">
        <v>2</v>
      </c>
      <c r="C104" s="53"/>
      <c r="D104" s="28" t="s">
        <v>335</v>
      </c>
      <c r="E104" s="28" t="s">
        <v>1879</v>
      </c>
      <c r="F104" s="124">
        <f>F100-F103</f>
        <v>0</v>
      </c>
      <c r="G104" s="132" t="s">
        <v>1880</v>
      </c>
    </row>
    <row r="105" spans="1:7" ht="15.75" thickBot="1" x14ac:dyDescent="0.3">
      <c r="A105" s="108">
        <v>9</v>
      </c>
      <c r="B105" s="108">
        <v>2</v>
      </c>
      <c r="E105" s="45" t="s">
        <v>1881</v>
      </c>
      <c r="F105" s="46">
        <f>IFERROR(F103/F100,0)</f>
        <v>0</v>
      </c>
      <c r="G105" s="37" t="s">
        <v>434</v>
      </c>
    </row>
    <row r="106" spans="1:7" ht="15.75" thickBot="1" x14ac:dyDescent="0.3">
      <c r="A106" s="108">
        <v>9</v>
      </c>
      <c r="B106" s="108">
        <v>2</v>
      </c>
      <c r="E106" s="47" t="s">
        <v>1882</v>
      </c>
      <c r="F106" s="44">
        <f>F105</f>
        <v>0</v>
      </c>
      <c r="G106" s="37"/>
    </row>
    <row r="108" spans="1:7" s="1" customFormat="1" ht="45" customHeight="1" x14ac:dyDescent="0.25">
      <c r="A108" s="108">
        <v>9</v>
      </c>
      <c r="B108" s="108">
        <v>2</v>
      </c>
      <c r="C108" s="54"/>
      <c r="D108" s="112"/>
      <c r="E108" s="152" t="s">
        <v>2080</v>
      </c>
      <c r="F108" s="147" t="s">
        <v>2053</v>
      </c>
      <c r="G108" s="159"/>
    </row>
    <row r="109" spans="1:7" s="1" customFormat="1" x14ac:dyDescent="0.25">
      <c r="A109" s="64"/>
      <c r="B109" s="64"/>
      <c r="C109" s="112"/>
      <c r="D109" s="112"/>
      <c r="E109" s="112"/>
      <c r="F109" s="56"/>
      <c r="G109" s="150"/>
    </row>
    <row r="110" spans="1:7" x14ac:dyDescent="0.25">
      <c r="A110" s="108">
        <v>9</v>
      </c>
      <c r="B110" s="108">
        <v>2</v>
      </c>
      <c r="C110" s="52">
        <v>16.100000000000001</v>
      </c>
      <c r="D110" s="215" t="s">
        <v>298</v>
      </c>
      <c r="E110" s="215"/>
      <c r="F110" s="27" t="s">
        <v>320</v>
      </c>
      <c r="G110" s="146" t="s">
        <v>321</v>
      </c>
    </row>
    <row r="111" spans="1:7" ht="30" x14ac:dyDescent="0.25">
      <c r="A111" s="108">
        <v>9</v>
      </c>
      <c r="B111" s="108">
        <v>2</v>
      </c>
      <c r="C111" s="53"/>
      <c r="D111" s="28" t="s">
        <v>322</v>
      </c>
      <c r="E111" s="28" t="s">
        <v>1883</v>
      </c>
      <c r="F111" s="31"/>
      <c r="G111" s="32" t="s">
        <v>1884</v>
      </c>
    </row>
    <row r="112" spans="1:7" x14ac:dyDescent="0.25">
      <c r="A112" s="108">
        <v>9</v>
      </c>
      <c r="B112" s="108">
        <v>2</v>
      </c>
      <c r="C112" s="53"/>
      <c r="D112" s="28" t="s">
        <v>327</v>
      </c>
      <c r="E112" s="28" t="s">
        <v>1885</v>
      </c>
      <c r="F112" s="31"/>
      <c r="G112" s="32" t="s">
        <v>1886</v>
      </c>
    </row>
    <row r="113" spans="1:7" x14ac:dyDescent="0.25">
      <c r="A113" s="108">
        <v>9</v>
      </c>
      <c r="B113" s="108">
        <v>2</v>
      </c>
      <c r="C113" s="53"/>
      <c r="D113" s="28" t="s">
        <v>330</v>
      </c>
      <c r="E113" s="28" t="s">
        <v>1887</v>
      </c>
      <c r="F113" s="31"/>
      <c r="G113" s="32" t="s">
        <v>1888</v>
      </c>
    </row>
    <row r="114" spans="1:7" ht="15.75" thickBot="1" x14ac:dyDescent="0.3">
      <c r="A114" s="108">
        <v>9</v>
      </c>
      <c r="B114" s="108">
        <v>2</v>
      </c>
      <c r="C114" s="53"/>
      <c r="D114" s="28" t="s">
        <v>332</v>
      </c>
      <c r="E114" s="28" t="s">
        <v>1889</v>
      </c>
      <c r="F114" s="29">
        <f>F112-F113</f>
        <v>0</v>
      </c>
      <c r="G114" s="30" t="s">
        <v>1890</v>
      </c>
    </row>
    <row r="115" spans="1:7" ht="15.75" thickBot="1" x14ac:dyDescent="0.3">
      <c r="A115" s="108">
        <v>9</v>
      </c>
      <c r="B115" s="108">
        <v>2</v>
      </c>
      <c r="E115" s="45" t="s">
        <v>1891</v>
      </c>
      <c r="F115" s="46">
        <f>IFERROR(F113/F112,0)</f>
        <v>0</v>
      </c>
      <c r="G115" s="37" t="s">
        <v>348</v>
      </c>
    </row>
    <row r="116" spans="1:7" ht="15.75" thickBot="1" x14ac:dyDescent="0.3">
      <c r="A116" s="108">
        <v>9</v>
      </c>
      <c r="B116" s="108">
        <v>2</v>
      </c>
      <c r="E116" s="47" t="s">
        <v>1892</v>
      </c>
      <c r="F116" s="44">
        <f>IF(F111=0,0,F115)</f>
        <v>0</v>
      </c>
      <c r="G116" s="37"/>
    </row>
    <row r="118" spans="1:7" s="1" customFormat="1" ht="45" customHeight="1" x14ac:dyDescent="0.25">
      <c r="A118" s="108">
        <v>9</v>
      </c>
      <c r="B118" s="108">
        <v>2</v>
      </c>
      <c r="C118" s="54"/>
      <c r="D118" s="112"/>
      <c r="E118" s="152" t="s">
        <v>2080</v>
      </c>
      <c r="F118" s="147" t="s">
        <v>2053</v>
      </c>
      <c r="G118" s="159"/>
    </row>
    <row r="119" spans="1:7" s="1" customFormat="1" x14ac:dyDescent="0.25">
      <c r="A119" s="64"/>
      <c r="B119" s="64"/>
      <c r="C119" s="112"/>
      <c r="D119" s="112"/>
      <c r="E119" s="112"/>
      <c r="F119" s="56"/>
      <c r="G119" s="150"/>
    </row>
    <row r="120" spans="1:7" x14ac:dyDescent="0.25">
      <c r="A120" s="108">
        <v>9</v>
      </c>
      <c r="B120" s="108">
        <v>2</v>
      </c>
      <c r="C120" s="52">
        <v>16.11</v>
      </c>
      <c r="D120" s="215" t="s">
        <v>299</v>
      </c>
      <c r="E120" s="215"/>
      <c r="F120" s="27" t="s">
        <v>320</v>
      </c>
      <c r="G120" s="146" t="s">
        <v>321</v>
      </c>
    </row>
    <row r="121" spans="1:7" x14ac:dyDescent="0.25">
      <c r="A121" s="108">
        <v>9</v>
      </c>
      <c r="B121" s="108">
        <v>2</v>
      </c>
      <c r="C121" s="53"/>
      <c r="D121" s="28" t="s">
        <v>322</v>
      </c>
      <c r="E121" s="28" t="s">
        <v>1893</v>
      </c>
      <c r="F121" s="31"/>
      <c r="G121" s="32" t="s">
        <v>1894</v>
      </c>
    </row>
    <row r="122" spans="1:7" x14ac:dyDescent="0.25">
      <c r="A122" s="108">
        <v>9</v>
      </c>
      <c r="B122" s="108">
        <v>2</v>
      </c>
      <c r="C122" s="53"/>
      <c r="D122" s="28" t="s">
        <v>327</v>
      </c>
      <c r="E122" s="28" t="s">
        <v>1895</v>
      </c>
      <c r="F122" s="31"/>
      <c r="G122" s="32" t="s">
        <v>1896</v>
      </c>
    </row>
    <row r="123" spans="1:7" x14ac:dyDescent="0.25">
      <c r="A123" s="108">
        <v>9</v>
      </c>
      <c r="B123" s="108">
        <v>2</v>
      </c>
      <c r="C123" s="53"/>
      <c r="D123" s="28" t="s">
        <v>330</v>
      </c>
      <c r="E123" s="28" t="s">
        <v>1897</v>
      </c>
      <c r="F123" s="29">
        <f>F121-F122</f>
        <v>0</v>
      </c>
      <c r="G123" s="30" t="s">
        <v>1898</v>
      </c>
    </row>
    <row r="124" spans="1:7" ht="30" x14ac:dyDescent="0.25">
      <c r="A124" s="108">
        <v>9</v>
      </c>
      <c r="B124" s="108">
        <v>2</v>
      </c>
      <c r="C124" s="53"/>
      <c r="D124" s="28" t="s">
        <v>332</v>
      </c>
      <c r="E124" s="28" t="s">
        <v>1899</v>
      </c>
      <c r="F124" s="31"/>
      <c r="G124" s="32" t="s">
        <v>1900</v>
      </c>
    </row>
    <row r="125" spans="1:7" ht="30.75" thickBot="1" x14ac:dyDescent="0.3">
      <c r="A125" s="108">
        <v>9</v>
      </c>
      <c r="B125" s="108">
        <v>2</v>
      </c>
      <c r="C125" s="53"/>
      <c r="D125" s="28" t="s">
        <v>335</v>
      </c>
      <c r="E125" s="28" t="s">
        <v>1901</v>
      </c>
      <c r="F125" s="29">
        <f>F122-F124</f>
        <v>0</v>
      </c>
      <c r="G125" s="30" t="s">
        <v>1902</v>
      </c>
    </row>
    <row r="126" spans="1:7" ht="30.75" thickBot="1" x14ac:dyDescent="0.3">
      <c r="A126" s="108">
        <v>9</v>
      </c>
      <c r="B126" s="108">
        <v>2</v>
      </c>
      <c r="E126" s="45" t="s">
        <v>1903</v>
      </c>
      <c r="F126" s="46">
        <f>IFERROR((F123+F124)/F121,0)</f>
        <v>0</v>
      </c>
      <c r="G126" s="37" t="s">
        <v>1281</v>
      </c>
    </row>
    <row r="127" spans="1:7" ht="15.75" thickBot="1" x14ac:dyDescent="0.3">
      <c r="A127" s="108">
        <v>9</v>
      </c>
      <c r="B127" s="108">
        <v>2</v>
      </c>
      <c r="E127" s="47" t="s">
        <v>1904</v>
      </c>
      <c r="F127" s="44">
        <f>F126</f>
        <v>0</v>
      </c>
      <c r="G127" s="37"/>
    </row>
    <row r="129" spans="1:7" s="1" customFormat="1" ht="45" customHeight="1" x14ac:dyDescent="0.25">
      <c r="A129" s="108">
        <v>9</v>
      </c>
      <c r="B129" s="108">
        <v>2</v>
      </c>
      <c r="C129" s="54"/>
      <c r="D129" s="112"/>
      <c r="E129" s="152" t="s">
        <v>2080</v>
      </c>
      <c r="F129" s="147" t="s">
        <v>2053</v>
      </c>
      <c r="G129" s="159"/>
    </row>
    <row r="130" spans="1:7" s="1" customFormat="1" x14ac:dyDescent="0.25">
      <c r="A130" s="64"/>
      <c r="B130" s="64"/>
      <c r="C130" s="112"/>
      <c r="D130" s="112"/>
      <c r="E130" s="112"/>
      <c r="F130" s="56"/>
      <c r="G130" s="150"/>
    </row>
    <row r="131" spans="1:7" x14ac:dyDescent="0.25">
      <c r="A131" s="108">
        <v>9</v>
      </c>
      <c r="B131" s="108">
        <v>3</v>
      </c>
      <c r="C131" s="52">
        <v>16.12</v>
      </c>
      <c r="D131" s="215" t="s">
        <v>300</v>
      </c>
      <c r="E131" s="215"/>
      <c r="F131" s="27" t="s">
        <v>320</v>
      </c>
      <c r="G131" s="146" t="s">
        <v>321</v>
      </c>
    </row>
    <row r="132" spans="1:7" x14ac:dyDescent="0.25">
      <c r="A132" s="108">
        <v>9</v>
      </c>
      <c r="B132" s="108">
        <v>3</v>
      </c>
      <c r="C132" s="53"/>
      <c r="D132" s="28" t="s">
        <v>322</v>
      </c>
      <c r="E132" s="28" t="s">
        <v>1905</v>
      </c>
      <c r="F132" s="31"/>
      <c r="G132" s="32" t="s">
        <v>1906</v>
      </c>
    </row>
    <row r="133" spans="1:7" x14ac:dyDescent="0.25">
      <c r="A133" s="108">
        <v>9</v>
      </c>
      <c r="B133" s="108">
        <v>3</v>
      </c>
      <c r="C133" s="53"/>
      <c r="D133" s="28" t="s">
        <v>327</v>
      </c>
      <c r="E133" s="28" t="s">
        <v>1907</v>
      </c>
      <c r="F133" s="31"/>
      <c r="G133" s="32" t="s">
        <v>1908</v>
      </c>
    </row>
    <row r="134" spans="1:7" x14ac:dyDescent="0.25">
      <c r="A134" s="108">
        <v>9</v>
      </c>
      <c r="B134" s="108">
        <v>3</v>
      </c>
      <c r="C134" s="53"/>
      <c r="D134" s="28" t="s">
        <v>330</v>
      </c>
      <c r="E134" s="28" t="s">
        <v>1909</v>
      </c>
      <c r="F134" s="29">
        <f>F132-F133</f>
        <v>0</v>
      </c>
      <c r="G134" s="30" t="s">
        <v>1910</v>
      </c>
    </row>
    <row r="135" spans="1:7" x14ac:dyDescent="0.25">
      <c r="A135" s="108">
        <v>9</v>
      </c>
      <c r="B135" s="108">
        <v>3</v>
      </c>
      <c r="C135" s="53"/>
      <c r="D135" s="28" t="s">
        <v>332</v>
      </c>
      <c r="E135" s="28" t="s">
        <v>1911</v>
      </c>
      <c r="F135" s="31"/>
      <c r="G135" s="32" t="s">
        <v>1912</v>
      </c>
    </row>
    <row r="136" spans="1:7" ht="15.75" thickBot="1" x14ac:dyDescent="0.3">
      <c r="A136" s="108">
        <v>9</v>
      </c>
      <c r="B136" s="108">
        <v>3</v>
      </c>
      <c r="C136" s="53"/>
      <c r="D136" s="28" t="s">
        <v>335</v>
      </c>
      <c r="E136" s="28" t="s">
        <v>1913</v>
      </c>
      <c r="F136" s="29">
        <f>F132-F135</f>
        <v>0</v>
      </c>
      <c r="G136" s="30" t="s">
        <v>1914</v>
      </c>
    </row>
    <row r="137" spans="1:7" ht="15.75" thickBot="1" x14ac:dyDescent="0.3">
      <c r="A137" s="108">
        <v>9</v>
      </c>
      <c r="B137" s="108">
        <v>3</v>
      </c>
      <c r="E137" s="45" t="s">
        <v>1915</v>
      </c>
      <c r="F137" s="46">
        <f>IFERROR(F133/F132,0)</f>
        <v>0</v>
      </c>
      <c r="G137" s="37" t="s">
        <v>378</v>
      </c>
    </row>
    <row r="138" spans="1:7" ht="15.75" thickBot="1" x14ac:dyDescent="0.3">
      <c r="A138" s="108">
        <v>9</v>
      </c>
      <c r="B138" s="108">
        <v>3</v>
      </c>
      <c r="E138" s="45" t="s">
        <v>1916</v>
      </c>
      <c r="F138" s="46">
        <f>IFERROR(F135/F132,0)</f>
        <v>0</v>
      </c>
      <c r="G138" s="37" t="s">
        <v>434</v>
      </c>
    </row>
    <row r="139" spans="1:7" ht="15.75" thickBot="1" x14ac:dyDescent="0.3">
      <c r="A139" s="108">
        <v>9</v>
      </c>
      <c r="B139" s="108">
        <v>3</v>
      </c>
      <c r="E139" s="47" t="s">
        <v>1917</v>
      </c>
      <c r="F139" s="44">
        <f>IFERROR(AVERAGE(F138,F137),0)</f>
        <v>0</v>
      </c>
      <c r="G139" s="37"/>
    </row>
    <row r="141" spans="1:7" s="1" customFormat="1" ht="45" customHeight="1" x14ac:dyDescent="0.25">
      <c r="A141" s="108">
        <v>9</v>
      </c>
      <c r="B141" s="108">
        <v>3</v>
      </c>
      <c r="C141" s="54"/>
      <c r="D141" s="112"/>
      <c r="E141" s="152" t="s">
        <v>2080</v>
      </c>
      <c r="F141" s="147" t="s">
        <v>2053</v>
      </c>
      <c r="G141" s="159"/>
    </row>
    <row r="142" spans="1:7" s="1" customFormat="1" x14ac:dyDescent="0.25">
      <c r="A142" s="64"/>
      <c r="B142" s="64"/>
      <c r="C142" s="112"/>
      <c r="D142" s="112"/>
      <c r="E142" s="112"/>
      <c r="F142" s="56"/>
      <c r="G142" s="150"/>
    </row>
    <row r="143" spans="1:7" x14ac:dyDescent="0.25">
      <c r="A143" s="108">
        <v>9</v>
      </c>
      <c r="B143" s="108">
        <v>3</v>
      </c>
      <c r="C143" s="52">
        <v>16.13</v>
      </c>
      <c r="D143" s="215" t="s">
        <v>301</v>
      </c>
      <c r="E143" s="215"/>
      <c r="F143" s="27" t="s">
        <v>320</v>
      </c>
      <c r="G143" s="146" t="s">
        <v>321</v>
      </c>
    </row>
    <row r="144" spans="1:7" x14ac:dyDescent="0.25">
      <c r="A144" s="108">
        <v>9</v>
      </c>
      <c r="B144" s="108">
        <v>3</v>
      </c>
      <c r="C144" s="53"/>
      <c r="D144" s="28" t="s">
        <v>322</v>
      </c>
      <c r="E144" s="28" t="s">
        <v>1918</v>
      </c>
      <c r="F144" s="31"/>
      <c r="G144" s="32" t="s">
        <v>1919</v>
      </c>
    </row>
    <row r="145" spans="1:7" x14ac:dyDescent="0.25">
      <c r="A145" s="108">
        <v>9</v>
      </c>
      <c r="B145" s="108">
        <v>3</v>
      </c>
      <c r="C145" s="53"/>
      <c r="D145" s="28" t="s">
        <v>327</v>
      </c>
      <c r="E145" s="28" t="s">
        <v>1920</v>
      </c>
      <c r="F145" s="31"/>
      <c r="G145" s="32" t="s">
        <v>1921</v>
      </c>
    </row>
    <row r="146" spans="1:7" ht="30" x14ac:dyDescent="0.25">
      <c r="A146" s="108">
        <v>9</v>
      </c>
      <c r="B146" s="108">
        <v>3</v>
      </c>
      <c r="C146" s="53"/>
      <c r="D146" s="28" t="s">
        <v>330</v>
      </c>
      <c r="E146" s="28" t="s">
        <v>1922</v>
      </c>
      <c r="F146" s="31"/>
      <c r="G146" s="32" t="s">
        <v>1923</v>
      </c>
    </row>
    <row r="147" spans="1:7" ht="30" x14ac:dyDescent="0.25">
      <c r="A147" s="108">
        <v>9</v>
      </c>
      <c r="B147" s="108">
        <v>3</v>
      </c>
      <c r="C147" s="53"/>
      <c r="D147" s="28" t="s">
        <v>332</v>
      </c>
      <c r="E147" s="28" t="s">
        <v>1924</v>
      </c>
      <c r="F147" s="29">
        <f>F145-F146</f>
        <v>0</v>
      </c>
      <c r="G147" s="30" t="s">
        <v>1925</v>
      </c>
    </row>
    <row r="148" spans="1:7" x14ac:dyDescent="0.25">
      <c r="A148" s="108">
        <v>9</v>
      </c>
      <c r="B148" s="108">
        <v>3</v>
      </c>
      <c r="C148" s="53"/>
      <c r="D148" s="28" t="s">
        <v>335</v>
      </c>
      <c r="E148" s="28" t="s">
        <v>1926</v>
      </c>
      <c r="F148" s="31"/>
      <c r="G148" s="32" t="s">
        <v>1927</v>
      </c>
    </row>
    <row r="149" spans="1:7" ht="30" x14ac:dyDescent="0.25">
      <c r="A149" s="108">
        <v>9</v>
      </c>
      <c r="B149" s="108">
        <v>3</v>
      </c>
      <c r="C149" s="53"/>
      <c r="D149" s="28" t="s">
        <v>338</v>
      </c>
      <c r="E149" s="28" t="s">
        <v>1928</v>
      </c>
      <c r="F149" s="31"/>
      <c r="G149" s="32" t="s">
        <v>1923</v>
      </c>
    </row>
    <row r="150" spans="1:7" ht="30.75" thickBot="1" x14ac:dyDescent="0.3">
      <c r="A150" s="108">
        <v>9</v>
      </c>
      <c r="B150" s="108">
        <v>3</v>
      </c>
      <c r="C150" s="53"/>
      <c r="D150" s="28" t="s">
        <v>341</v>
      </c>
      <c r="E150" s="28" t="s">
        <v>1929</v>
      </c>
      <c r="F150" s="29">
        <f>F148-F149</f>
        <v>0</v>
      </c>
      <c r="G150" s="30" t="s">
        <v>1925</v>
      </c>
    </row>
    <row r="151" spans="1:7" ht="30.75" thickBot="1" x14ac:dyDescent="0.3">
      <c r="A151" s="108">
        <v>9</v>
      </c>
      <c r="B151" s="108">
        <v>3</v>
      </c>
      <c r="E151" s="45" t="s">
        <v>1930</v>
      </c>
      <c r="F151" s="46">
        <f>IFERROR(F146/F145,0)</f>
        <v>0</v>
      </c>
      <c r="G151" s="37" t="s">
        <v>348</v>
      </c>
    </row>
    <row r="152" spans="1:7" ht="30.75" thickBot="1" x14ac:dyDescent="0.3">
      <c r="A152" s="108">
        <v>9</v>
      </c>
      <c r="B152" s="108">
        <v>3</v>
      </c>
      <c r="E152" s="45" t="s">
        <v>1931</v>
      </c>
      <c r="F152" s="46">
        <f>IFERROR(F149/F148,0)</f>
        <v>0</v>
      </c>
      <c r="G152" s="37" t="s">
        <v>1932</v>
      </c>
    </row>
    <row r="153" spans="1:7" ht="15.75" thickBot="1" x14ac:dyDescent="0.3">
      <c r="A153" s="108">
        <v>9</v>
      </c>
      <c r="B153" s="108">
        <v>3</v>
      </c>
      <c r="E153" s="47" t="s">
        <v>1933</v>
      </c>
      <c r="F153" s="44">
        <f>IF(F144=0,0,AVERAGE(F151:F152))</f>
        <v>0</v>
      </c>
      <c r="G153" s="37"/>
    </row>
    <row r="155" spans="1:7" s="1" customFormat="1" ht="45" customHeight="1" x14ac:dyDescent="0.25">
      <c r="A155" s="108">
        <v>9</v>
      </c>
      <c r="B155" s="108">
        <v>3</v>
      </c>
      <c r="C155" s="54"/>
      <c r="D155" s="112"/>
      <c r="E155" s="152" t="s">
        <v>2080</v>
      </c>
      <c r="F155" s="147" t="s">
        <v>2053</v>
      </c>
      <c r="G155" s="159"/>
    </row>
    <row r="156" spans="1:7" s="1" customFormat="1" x14ac:dyDescent="0.25">
      <c r="A156" s="64"/>
      <c r="B156" s="64"/>
      <c r="C156" s="112"/>
      <c r="D156" s="112"/>
      <c r="E156" s="112"/>
      <c r="F156" s="56"/>
      <c r="G156" s="150"/>
    </row>
    <row r="157" spans="1:7" x14ac:dyDescent="0.25">
      <c r="A157" s="108">
        <v>9</v>
      </c>
      <c r="B157" s="108">
        <v>3</v>
      </c>
      <c r="C157" s="52">
        <v>16.14</v>
      </c>
      <c r="D157" s="215" t="s">
        <v>302</v>
      </c>
      <c r="E157" s="215"/>
      <c r="F157" s="27" t="s">
        <v>320</v>
      </c>
      <c r="G157" s="146" t="s">
        <v>321</v>
      </c>
    </row>
    <row r="158" spans="1:7" x14ac:dyDescent="0.25">
      <c r="A158" s="108">
        <v>9</v>
      </c>
      <c r="B158" s="108">
        <v>3</v>
      </c>
      <c r="C158" s="53"/>
      <c r="D158" s="28" t="s">
        <v>322</v>
      </c>
      <c r="E158" s="28" t="s">
        <v>1934</v>
      </c>
      <c r="F158" s="31"/>
      <c r="G158" s="32" t="s">
        <v>1919</v>
      </c>
    </row>
    <row r="159" spans="1:7" x14ac:dyDescent="0.25">
      <c r="A159" s="108">
        <v>9</v>
      </c>
      <c r="B159" s="108">
        <v>3</v>
      </c>
      <c r="C159" s="53"/>
      <c r="D159" s="28" t="s">
        <v>327</v>
      </c>
      <c r="E159" s="28" t="s">
        <v>1935</v>
      </c>
      <c r="F159" s="31"/>
      <c r="G159" s="32" t="s">
        <v>1936</v>
      </c>
    </row>
    <row r="160" spans="1:7" x14ac:dyDescent="0.25">
      <c r="A160" s="108">
        <v>9</v>
      </c>
      <c r="B160" s="108">
        <v>3</v>
      </c>
      <c r="C160" s="53"/>
      <c r="D160" s="28" t="s">
        <v>330</v>
      </c>
      <c r="E160" s="28" t="s">
        <v>1937</v>
      </c>
      <c r="F160" s="31"/>
      <c r="G160" s="32" t="s">
        <v>1938</v>
      </c>
    </row>
    <row r="161" spans="1:7" ht="15.75" thickBot="1" x14ac:dyDescent="0.3">
      <c r="A161" s="108">
        <v>9</v>
      </c>
      <c r="B161" s="108">
        <v>3</v>
      </c>
      <c r="C161" s="53"/>
      <c r="D161" s="28" t="s">
        <v>332</v>
      </c>
      <c r="E161" s="28" t="s">
        <v>1939</v>
      </c>
      <c r="F161" s="124">
        <f>F159-F160</f>
        <v>0</v>
      </c>
      <c r="G161" s="132" t="s">
        <v>1940</v>
      </c>
    </row>
    <row r="162" spans="1:7" ht="15.75" thickBot="1" x14ac:dyDescent="0.3">
      <c r="A162" s="108">
        <v>9</v>
      </c>
      <c r="B162" s="108">
        <v>3</v>
      </c>
      <c r="E162" s="45" t="s">
        <v>1941</v>
      </c>
      <c r="F162" s="46">
        <f>IFERROR(F160/F159,0)</f>
        <v>0</v>
      </c>
      <c r="G162" s="37" t="s">
        <v>348</v>
      </c>
    </row>
    <row r="163" spans="1:7" ht="15.75" thickBot="1" x14ac:dyDescent="0.3">
      <c r="A163" s="108">
        <v>9</v>
      </c>
      <c r="B163" s="108">
        <v>3</v>
      </c>
      <c r="E163" s="47" t="s">
        <v>1942</v>
      </c>
      <c r="F163" s="44">
        <f>IF(F158=0,0,F162)</f>
        <v>0</v>
      </c>
      <c r="G163" s="37"/>
    </row>
    <row r="165" spans="1:7" s="1" customFormat="1" ht="45" customHeight="1" x14ac:dyDescent="0.25">
      <c r="A165" s="108">
        <v>9</v>
      </c>
      <c r="B165" s="108">
        <v>3</v>
      </c>
      <c r="C165" s="54"/>
      <c r="D165" s="112"/>
      <c r="E165" s="152" t="s">
        <v>2080</v>
      </c>
      <c r="F165" s="147" t="s">
        <v>2053</v>
      </c>
      <c r="G165" s="159"/>
    </row>
    <row r="166" spans="1:7" s="1" customFormat="1" x14ac:dyDescent="0.25">
      <c r="A166" s="64"/>
      <c r="B166" s="64"/>
      <c r="C166" s="112"/>
      <c r="D166" s="112"/>
      <c r="E166" s="112"/>
      <c r="F166" s="56"/>
      <c r="G166" s="150"/>
    </row>
  </sheetData>
  <sheetProtection algorithmName="SHA-512" hashValue="Y//TQglQUExzERhEUc1Pytnwfsr6IqfUUHa2RTgJDfIdZGAViqDqALRPUBr7XS3Dv1xriYMLUdmbU1nGZbYQoA==" saltValue="QVtNO0kGix/Z0LLGqyyRgQ==" spinCount="100000" sheet="1" formatRows="0" selectLockedCells="1"/>
  <mergeCells count="15">
    <mergeCell ref="D110:E110"/>
    <mergeCell ref="D120:E120"/>
    <mergeCell ref="D131:E131"/>
    <mergeCell ref="D143:E143"/>
    <mergeCell ref="D157:E157"/>
    <mergeCell ref="D62:E62"/>
    <mergeCell ref="D72:E72"/>
    <mergeCell ref="D81:E81"/>
    <mergeCell ref="D90:E90"/>
    <mergeCell ref="D99:E99"/>
    <mergeCell ref="C2:E2"/>
    <mergeCell ref="D4:E4"/>
    <mergeCell ref="D19:E19"/>
    <mergeCell ref="D35:E35"/>
    <mergeCell ref="D49:E49"/>
  </mergeCells>
  <conditionalFormatting sqref="E1:E1048576">
    <cfRule type="containsText" dxfId="8" priority="2" operator="containsText" text="Safeguard Scoring Complete">
      <formula>NOT(ISERROR(SEARCH("Safeguard Scoring Complete",E1)))</formula>
    </cfRule>
    <cfRule type="containsText" dxfId="7" priority="17" operator="containsText" text="Safeguard Scoring Incomplete">
      <formula>NOT(ISERROR(SEARCH("Safeguard Scoring Incomplete",E1)))</formula>
    </cfRule>
  </conditionalFormatting>
  <dataValidations count="3">
    <dataValidation type="list" allowBlank="1" showInputMessage="1" showErrorMessage="1" sqref="F2" xr:uid="{BDB1D81C-313D-464F-96EE-17568584A2EA}">
      <formula1>"Assessed,Not Assessed"</formula1>
    </dataValidation>
    <dataValidation type="list" allowBlank="1" showInputMessage="1" showErrorMessage="1" sqref="F36 F111 F144 F158 F7:F12 F22:F28 F38:F39 F53:F54" xr:uid="{AC525BEE-8DC2-484C-A7F3-7AD68BC79454}">
      <formula1>"0,1"</formula1>
    </dataValidation>
    <dataValidation type="list" allowBlank="1" showInputMessage="1" showErrorMessage="1" sqref="E17 E33 E47 E60 E70 E79 E88 E97 E108 E118 E129 E141 E155 E165" xr:uid="{73824F51-AFDC-4C6E-A620-D1A7966646CA}">
      <formula1>"Safeguard Scoring Complete,Safeguard Scoring Incomplete"</formula1>
    </dataValidation>
  </dataValidations>
  <hyperlinks>
    <hyperlink ref="G2" r:id="rId1" xr:uid="{4EE6FEBC-5ACD-4217-B4C0-A0FCF9B6A456}"/>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7EB576C-ED98-4CAE-8A59-D9C002DD7A7B}">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D039C-4BEB-45CF-9AB0-E19EF9BDBC03}">
  <sheetPr codeName="Sheet20"/>
  <dimension ref="A2:G105"/>
  <sheetViews>
    <sheetView showGridLines="0" topLeftCell="A9" workbookViewId="0">
      <selection activeCell="F2" sqref="F2"/>
    </sheetView>
  </sheetViews>
  <sheetFormatPr defaultColWidth="9.140625" defaultRowHeight="15" x14ac:dyDescent="0.25"/>
  <cols>
    <col min="1" max="2" width="2.7109375" style="108" customWidth="1"/>
    <col min="3" max="3" width="6.4257812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1943</v>
      </c>
      <c r="D2" s="214"/>
      <c r="E2" s="214"/>
      <c r="F2" s="100" t="s">
        <v>318</v>
      </c>
      <c r="G2" s="208" t="s">
        <v>2201</v>
      </c>
    </row>
    <row r="4" spans="1:7" x14ac:dyDescent="0.25">
      <c r="A4" s="108">
        <v>0</v>
      </c>
      <c r="B4" s="108">
        <v>1</v>
      </c>
      <c r="C4" s="146">
        <v>17.010000000000002</v>
      </c>
      <c r="D4" s="215" t="s">
        <v>303</v>
      </c>
      <c r="E4" s="215"/>
      <c r="F4" s="27" t="s">
        <v>320</v>
      </c>
      <c r="G4" s="146" t="s">
        <v>321</v>
      </c>
    </row>
    <row r="5" spans="1:7" x14ac:dyDescent="0.25">
      <c r="A5" s="108">
        <v>0</v>
      </c>
      <c r="B5" s="108">
        <v>1</v>
      </c>
      <c r="C5" s="25"/>
      <c r="D5" s="28" t="s">
        <v>322</v>
      </c>
      <c r="E5" t="s">
        <v>1944</v>
      </c>
      <c r="F5" s="57">
        <f>IF(Artifacts!$E$32="Artifact Provided",1,0)</f>
        <v>0</v>
      </c>
      <c r="G5" s="76" t="s">
        <v>324</v>
      </c>
    </row>
    <row r="6" spans="1:7" x14ac:dyDescent="0.25">
      <c r="A6" s="108">
        <v>0</v>
      </c>
      <c r="B6" s="108">
        <v>1</v>
      </c>
      <c r="C6" s="25"/>
      <c r="D6" s="28" t="s">
        <v>327</v>
      </c>
      <c r="E6" s="28" t="s">
        <v>1945</v>
      </c>
      <c r="F6" s="124">
        <f>SUM(F7:F9)</f>
        <v>0</v>
      </c>
      <c r="G6" s="132"/>
    </row>
    <row r="7" spans="1:7" x14ac:dyDescent="0.25">
      <c r="A7" s="108">
        <v>0</v>
      </c>
      <c r="B7" s="108">
        <v>1</v>
      </c>
      <c r="C7" s="25"/>
      <c r="D7" s="28" t="s">
        <v>400</v>
      </c>
      <c r="E7" s="28" t="s">
        <v>1946</v>
      </c>
      <c r="F7" s="31"/>
      <c r="G7" s="161" t="s">
        <v>978</v>
      </c>
    </row>
    <row r="8" spans="1:7" x14ac:dyDescent="0.25">
      <c r="A8" s="108">
        <v>0</v>
      </c>
      <c r="B8" s="108">
        <v>1</v>
      </c>
      <c r="C8" s="25"/>
      <c r="D8" s="28" t="s">
        <v>403</v>
      </c>
      <c r="E8" s="28" t="s">
        <v>1947</v>
      </c>
      <c r="F8" s="31"/>
      <c r="G8" s="161" t="s">
        <v>978</v>
      </c>
    </row>
    <row r="9" spans="1:7" x14ac:dyDescent="0.25">
      <c r="A9" s="108">
        <v>0</v>
      </c>
      <c r="B9" s="108">
        <v>1</v>
      </c>
      <c r="C9" s="25"/>
      <c r="D9" s="28" t="s">
        <v>405</v>
      </c>
      <c r="E9" s="28" t="s">
        <v>1948</v>
      </c>
      <c r="F9" s="31"/>
      <c r="G9" s="161" t="s">
        <v>978</v>
      </c>
    </row>
    <row r="10" spans="1:7" ht="15.75" thickBot="1" x14ac:dyDescent="0.3">
      <c r="A10" s="108">
        <v>0</v>
      </c>
      <c r="B10" s="108">
        <v>1</v>
      </c>
      <c r="C10" s="25"/>
      <c r="D10" s="28" t="s">
        <v>330</v>
      </c>
      <c r="E10" s="28" t="s">
        <v>1949</v>
      </c>
      <c r="F10" s="29">
        <f>DATEDIF(Artifacts!$F$32,GlobalSettings!$C$4,"m")</f>
        <v>1508</v>
      </c>
      <c r="G10" s="30"/>
    </row>
    <row r="11" spans="1:7" ht="30.75" thickBot="1" x14ac:dyDescent="0.3">
      <c r="A11" s="108">
        <v>0</v>
      </c>
      <c r="B11" s="108">
        <v>1</v>
      </c>
      <c r="E11" s="45" t="s">
        <v>1950</v>
      </c>
      <c r="F11" s="46">
        <f>IFERROR(F6/3,0)</f>
        <v>0</v>
      </c>
      <c r="G11" s="37" t="s">
        <v>1106</v>
      </c>
    </row>
    <row r="12" spans="1:7" ht="15.75" thickBot="1" x14ac:dyDescent="0.3">
      <c r="A12" s="108">
        <v>0</v>
      </c>
      <c r="B12" s="108">
        <v>1</v>
      </c>
      <c r="E12" s="47" t="s">
        <v>1951</v>
      </c>
      <c r="F12" s="44">
        <f>IF(F5=0,0,IF(F10&lt;=GlobalSettings!$C$8,F11,IF(GlobalSettings!$C$10="No",0,F11*(GlobalSettings!$C$6-0.01))))</f>
        <v>0</v>
      </c>
      <c r="G12" s="37" t="s">
        <v>1952</v>
      </c>
    </row>
    <row r="14" spans="1:7" s="1" customFormat="1" ht="45" customHeight="1" x14ac:dyDescent="0.25">
      <c r="A14" s="108">
        <v>0</v>
      </c>
      <c r="B14" s="108">
        <v>1</v>
      </c>
      <c r="C14" s="51"/>
      <c r="D14" s="112"/>
      <c r="E14" s="152" t="s">
        <v>2080</v>
      </c>
      <c r="F14" s="147" t="s">
        <v>2053</v>
      </c>
      <c r="G14" s="159"/>
    </row>
    <row r="15" spans="1:7" s="1" customFormat="1" x14ac:dyDescent="0.25">
      <c r="A15" s="64"/>
      <c r="B15" s="64"/>
      <c r="C15" s="112"/>
      <c r="D15" s="112"/>
      <c r="E15" s="112"/>
      <c r="F15" s="56"/>
      <c r="G15" s="150"/>
    </row>
    <row r="16" spans="1:7" x14ac:dyDescent="0.25">
      <c r="A16" s="108">
        <v>0</v>
      </c>
      <c r="B16" s="108">
        <v>1</v>
      </c>
      <c r="C16" s="146">
        <v>17.02</v>
      </c>
      <c r="D16" s="215" t="s">
        <v>304</v>
      </c>
      <c r="E16" s="215"/>
      <c r="F16" s="27" t="s">
        <v>320</v>
      </c>
      <c r="G16" s="146" t="s">
        <v>321</v>
      </c>
    </row>
    <row r="17" spans="1:7" ht="30" x14ac:dyDescent="0.25">
      <c r="A17" s="108">
        <v>0</v>
      </c>
      <c r="B17" s="108">
        <v>1</v>
      </c>
      <c r="C17" s="25"/>
      <c r="D17" s="28" t="s">
        <v>322</v>
      </c>
      <c r="E17" s="28" t="s">
        <v>1953</v>
      </c>
      <c r="F17" s="31"/>
      <c r="G17" s="76" t="s">
        <v>402</v>
      </c>
    </row>
    <row r="18" spans="1:7" ht="15.75" thickBot="1" x14ac:dyDescent="0.3">
      <c r="A18" s="108">
        <v>0</v>
      </c>
      <c r="B18" s="108">
        <v>1</v>
      </c>
      <c r="C18" s="25"/>
      <c r="D18" s="28" t="s">
        <v>327</v>
      </c>
      <c r="E18" s="28" t="s">
        <v>1949</v>
      </c>
      <c r="F18" s="29">
        <f>F10</f>
        <v>1508</v>
      </c>
      <c r="G18" s="30" t="s">
        <v>1954</v>
      </c>
    </row>
    <row r="19" spans="1:7" ht="15.75" thickBot="1" x14ac:dyDescent="0.3">
      <c r="A19" s="108">
        <v>0</v>
      </c>
      <c r="B19" s="108">
        <v>1</v>
      </c>
      <c r="E19" s="47" t="s">
        <v>1955</v>
      </c>
      <c r="F19" s="44">
        <f>IF(F17=0,0,IF(F18&lt;=GlobalSettings!$C$8,1,IF(GlobalSettings!$C$10="No",0,1*(GlobalSettings!$C$6-0.01))))</f>
        <v>0</v>
      </c>
      <c r="G19" s="37" t="s">
        <v>1956</v>
      </c>
    </row>
    <row r="21" spans="1:7" s="1" customFormat="1" ht="45" customHeight="1" x14ac:dyDescent="0.25">
      <c r="A21" s="108">
        <v>0</v>
      </c>
      <c r="B21" s="108">
        <v>1</v>
      </c>
      <c r="C21" s="51"/>
      <c r="D21" s="112"/>
      <c r="E21" s="152" t="s">
        <v>2080</v>
      </c>
      <c r="F21" s="147" t="s">
        <v>2053</v>
      </c>
      <c r="G21" s="159"/>
    </row>
    <row r="22" spans="1:7" s="1" customFormat="1" x14ac:dyDescent="0.25">
      <c r="A22" s="64"/>
      <c r="B22" s="64"/>
      <c r="C22" s="112"/>
      <c r="D22" s="112"/>
      <c r="E22" s="112"/>
      <c r="F22" s="56"/>
      <c r="G22" s="150"/>
    </row>
    <row r="23" spans="1:7" x14ac:dyDescent="0.25">
      <c r="A23" s="108">
        <v>0</v>
      </c>
      <c r="B23" s="108">
        <v>1</v>
      </c>
      <c r="C23" s="146">
        <v>17.03</v>
      </c>
      <c r="D23" s="215" t="s">
        <v>305</v>
      </c>
      <c r="E23" s="215"/>
      <c r="F23" s="27" t="s">
        <v>320</v>
      </c>
      <c r="G23" s="146" t="s">
        <v>321</v>
      </c>
    </row>
    <row r="24" spans="1:7" x14ac:dyDescent="0.25">
      <c r="A24" s="108">
        <v>0</v>
      </c>
      <c r="B24" s="108">
        <v>1</v>
      </c>
      <c r="C24" s="25"/>
      <c r="D24" s="28" t="s">
        <v>322</v>
      </c>
      <c r="E24" s="28" t="s">
        <v>1957</v>
      </c>
      <c r="F24" s="31"/>
      <c r="G24" s="78" t="s">
        <v>402</v>
      </c>
    </row>
    <row r="25" spans="1:7" x14ac:dyDescent="0.25">
      <c r="A25" s="108">
        <v>0</v>
      </c>
      <c r="B25" s="108">
        <v>1</v>
      </c>
      <c r="C25" s="25"/>
      <c r="D25" s="28" t="s">
        <v>327</v>
      </c>
      <c r="E25" s="28" t="s">
        <v>1945</v>
      </c>
      <c r="F25" s="124">
        <f>SUM(F26:F29)</f>
        <v>0</v>
      </c>
      <c r="G25" s="30"/>
    </row>
    <row r="26" spans="1:7" x14ac:dyDescent="0.25">
      <c r="A26" s="108">
        <v>0</v>
      </c>
      <c r="B26" s="108">
        <v>1</v>
      </c>
      <c r="C26" s="25"/>
      <c r="D26" s="28" t="s">
        <v>400</v>
      </c>
      <c r="E26" s="28" t="s">
        <v>1958</v>
      </c>
      <c r="F26" s="31"/>
      <c r="G26" s="78" t="s">
        <v>402</v>
      </c>
    </row>
    <row r="27" spans="1:7" x14ac:dyDescent="0.25">
      <c r="A27" s="108">
        <v>0</v>
      </c>
      <c r="B27" s="108">
        <v>1</v>
      </c>
      <c r="C27" s="25"/>
      <c r="D27" s="28" t="s">
        <v>403</v>
      </c>
      <c r="E27" s="28" t="s">
        <v>1959</v>
      </c>
      <c r="F27" s="31"/>
      <c r="G27" s="78" t="s">
        <v>402</v>
      </c>
    </row>
    <row r="28" spans="1:7" x14ac:dyDescent="0.25">
      <c r="A28" s="108">
        <v>0</v>
      </c>
      <c r="B28" s="108">
        <v>1</v>
      </c>
      <c r="C28" s="25"/>
      <c r="D28" s="28" t="s">
        <v>405</v>
      </c>
      <c r="E28" s="28" t="s">
        <v>1960</v>
      </c>
      <c r="F28" s="31"/>
      <c r="G28" s="78" t="s">
        <v>402</v>
      </c>
    </row>
    <row r="29" spans="1:7" x14ac:dyDescent="0.25">
      <c r="A29" s="108">
        <v>0</v>
      </c>
      <c r="B29" s="108">
        <v>1</v>
      </c>
      <c r="C29" s="25"/>
      <c r="D29" s="28" t="s">
        <v>407</v>
      </c>
      <c r="E29" s="28" t="s">
        <v>1961</v>
      </c>
      <c r="F29" s="31"/>
      <c r="G29" s="78" t="s">
        <v>402</v>
      </c>
    </row>
    <row r="30" spans="1:7" x14ac:dyDescent="0.25">
      <c r="A30" s="108">
        <v>0</v>
      </c>
      <c r="B30" s="108">
        <v>1</v>
      </c>
      <c r="C30" s="25"/>
      <c r="D30" s="28" t="s">
        <v>330</v>
      </c>
      <c r="E30" s="28" t="s">
        <v>1949</v>
      </c>
      <c r="F30" s="29">
        <f>F10</f>
        <v>1508</v>
      </c>
      <c r="G30" s="30" t="s">
        <v>1954</v>
      </c>
    </row>
    <row r="31" spans="1:7" ht="15.75" thickBot="1" x14ac:dyDescent="0.3">
      <c r="A31" s="108">
        <v>0</v>
      </c>
      <c r="B31" s="108">
        <v>1</v>
      </c>
      <c r="C31" s="25"/>
      <c r="D31" s="28" t="s">
        <v>332</v>
      </c>
      <c r="E31" s="28" t="s">
        <v>1962</v>
      </c>
      <c r="F31" s="31"/>
      <c r="G31" s="78" t="s">
        <v>402</v>
      </c>
    </row>
    <row r="32" spans="1:7" ht="30.75" thickBot="1" x14ac:dyDescent="0.3">
      <c r="A32" s="108">
        <v>0</v>
      </c>
      <c r="B32" s="108">
        <v>1</v>
      </c>
      <c r="E32" s="45" t="s">
        <v>1950</v>
      </c>
      <c r="F32" s="46">
        <f>IFERROR(F25/4,0)</f>
        <v>0</v>
      </c>
      <c r="G32" s="37" t="s">
        <v>1963</v>
      </c>
    </row>
    <row r="33" spans="1:7" ht="15.75" thickBot="1" x14ac:dyDescent="0.3">
      <c r="A33" s="108">
        <v>0</v>
      </c>
      <c r="B33" s="108">
        <v>1</v>
      </c>
      <c r="E33" s="47" t="s">
        <v>1964</v>
      </c>
      <c r="F33" s="44">
        <f>IF(OR(F24=0,F31=0),0,IF(F30&lt;=GlobalSettings!$C$8,F32,IF(GlobalSettings!$C$10="No",0,F32*(GlobalSettings!$C$6-0.01))))</f>
        <v>0</v>
      </c>
      <c r="G33" s="37" t="s">
        <v>1956</v>
      </c>
    </row>
    <row r="35" spans="1:7" s="1" customFormat="1" ht="45" customHeight="1" x14ac:dyDescent="0.25">
      <c r="A35" s="108">
        <v>0</v>
      </c>
      <c r="B35" s="108">
        <v>1</v>
      </c>
      <c r="C35" s="51"/>
      <c r="D35" s="112"/>
      <c r="E35" s="152" t="s">
        <v>2080</v>
      </c>
      <c r="F35" s="147" t="s">
        <v>2053</v>
      </c>
      <c r="G35" s="159"/>
    </row>
    <row r="36" spans="1:7" s="1" customFormat="1" x14ac:dyDescent="0.25">
      <c r="A36" s="64"/>
      <c r="B36" s="64"/>
      <c r="C36" s="112"/>
      <c r="D36" s="112"/>
      <c r="E36" s="112"/>
      <c r="F36" s="56"/>
      <c r="G36" s="150"/>
    </row>
    <row r="37" spans="1:7" x14ac:dyDescent="0.25">
      <c r="A37" s="108">
        <v>9</v>
      </c>
      <c r="B37" s="108">
        <v>2</v>
      </c>
      <c r="C37" s="146">
        <v>17.04</v>
      </c>
      <c r="D37" s="215" t="s">
        <v>306</v>
      </c>
      <c r="E37" s="215"/>
      <c r="F37" s="27" t="s">
        <v>320</v>
      </c>
      <c r="G37" s="146" t="s">
        <v>321</v>
      </c>
    </row>
    <row r="38" spans="1:7" x14ac:dyDescent="0.25">
      <c r="A38" s="108">
        <v>9</v>
      </c>
      <c r="B38" s="108">
        <v>2</v>
      </c>
      <c r="C38" s="25"/>
      <c r="D38" s="28" t="s">
        <v>322</v>
      </c>
      <c r="E38" s="28" t="s">
        <v>1965</v>
      </c>
      <c r="F38" s="57">
        <f>IF(Artifacts!$E$33="Artifact Provided",1,0)</f>
        <v>0</v>
      </c>
      <c r="G38" s="76" t="s">
        <v>324</v>
      </c>
    </row>
    <row r="39" spans="1:7" x14ac:dyDescent="0.25">
      <c r="A39" s="108">
        <v>9</v>
      </c>
      <c r="B39" s="108">
        <v>2</v>
      </c>
      <c r="C39" s="25"/>
      <c r="D39" s="28" t="s">
        <v>327</v>
      </c>
      <c r="E39" s="28" t="s">
        <v>1966</v>
      </c>
      <c r="F39" s="124">
        <f>SUM(F40:F42)</f>
        <v>0</v>
      </c>
      <c r="G39" s="30"/>
    </row>
    <row r="40" spans="1:7" x14ac:dyDescent="0.25">
      <c r="A40" s="108">
        <v>9</v>
      </c>
      <c r="B40" s="108">
        <v>2</v>
      </c>
      <c r="C40" s="25"/>
      <c r="D40" s="28" t="s">
        <v>400</v>
      </c>
      <c r="E40" s="28" t="s">
        <v>1967</v>
      </c>
      <c r="F40" s="31"/>
      <c r="G40" s="78" t="s">
        <v>402</v>
      </c>
    </row>
    <row r="41" spans="1:7" x14ac:dyDescent="0.25">
      <c r="A41" s="108">
        <v>9</v>
      </c>
      <c r="B41" s="108">
        <v>2</v>
      </c>
      <c r="C41" s="25"/>
      <c r="D41" s="28" t="s">
        <v>403</v>
      </c>
      <c r="E41" s="28" t="s">
        <v>1968</v>
      </c>
      <c r="F41" s="31"/>
      <c r="G41" s="78" t="s">
        <v>402</v>
      </c>
    </row>
    <row r="42" spans="1:7" x14ac:dyDescent="0.25">
      <c r="A42" s="108">
        <v>9</v>
      </c>
      <c r="B42" s="108">
        <v>2</v>
      </c>
      <c r="C42" s="25"/>
      <c r="D42" s="28" t="s">
        <v>405</v>
      </c>
      <c r="E42" s="28" t="s">
        <v>1969</v>
      </c>
      <c r="F42" s="31"/>
      <c r="G42" s="78" t="s">
        <v>402</v>
      </c>
    </row>
    <row r="43" spans="1:7" ht="15.75" thickBot="1" x14ac:dyDescent="0.3">
      <c r="A43" s="108">
        <v>9</v>
      </c>
      <c r="B43" s="108">
        <v>2</v>
      </c>
      <c r="C43" s="25"/>
      <c r="D43" s="28" t="s">
        <v>330</v>
      </c>
      <c r="E43" s="28" t="s">
        <v>1949</v>
      </c>
      <c r="F43" s="29">
        <f>DATEDIF(Artifacts!$F$33,GlobalSettings!$C$4,"m")</f>
        <v>1508</v>
      </c>
      <c r="G43" s="30"/>
    </row>
    <row r="44" spans="1:7" ht="30.75" thickBot="1" x14ac:dyDescent="0.3">
      <c r="A44" s="108">
        <v>9</v>
      </c>
      <c r="B44" s="108">
        <v>2</v>
      </c>
      <c r="E44" s="45" t="s">
        <v>1950</v>
      </c>
      <c r="F44" s="46">
        <f>F39/3</f>
        <v>0</v>
      </c>
      <c r="G44" s="37" t="s">
        <v>1106</v>
      </c>
    </row>
    <row r="45" spans="1:7" ht="15.75" thickBot="1" x14ac:dyDescent="0.3">
      <c r="A45" s="108">
        <v>9</v>
      </c>
      <c r="B45" s="108">
        <v>2</v>
      </c>
      <c r="E45" s="47" t="s">
        <v>1970</v>
      </c>
      <c r="F45" s="44">
        <f>IF(F38=0,0,IF(F43&lt;=GlobalSettings!$C$8,F44,IF(GlobalSettings!$C$10="No",0,F44*(GlobalSettings!$C$6-0.01))))</f>
        <v>0</v>
      </c>
      <c r="G45" s="37" t="s">
        <v>1956</v>
      </c>
    </row>
    <row r="47" spans="1:7" s="1" customFormat="1" ht="45" customHeight="1" x14ac:dyDescent="0.25">
      <c r="A47" s="108">
        <v>9</v>
      </c>
      <c r="B47" s="108">
        <v>2</v>
      </c>
      <c r="C47" s="51"/>
      <c r="D47" s="112"/>
      <c r="E47" s="152" t="s">
        <v>2080</v>
      </c>
      <c r="F47" s="147" t="s">
        <v>2053</v>
      </c>
      <c r="G47" s="159"/>
    </row>
    <row r="48" spans="1:7" s="1" customFormat="1" x14ac:dyDescent="0.25">
      <c r="A48" s="64"/>
      <c r="B48" s="64"/>
      <c r="C48" s="112"/>
      <c r="D48" s="112"/>
      <c r="E48" s="112"/>
      <c r="F48" s="56"/>
      <c r="G48" s="150"/>
    </row>
    <row r="49" spans="1:7" x14ac:dyDescent="0.25">
      <c r="A49" s="108">
        <v>9</v>
      </c>
      <c r="B49" s="108">
        <v>2</v>
      </c>
      <c r="C49" s="146">
        <v>17.05</v>
      </c>
      <c r="D49" s="215" t="s">
        <v>307</v>
      </c>
      <c r="E49" s="215"/>
      <c r="F49" s="27" t="s">
        <v>320</v>
      </c>
      <c r="G49" s="146" t="s">
        <v>321</v>
      </c>
    </row>
    <row r="50" spans="1:7" x14ac:dyDescent="0.25">
      <c r="A50" s="108">
        <v>9</v>
      </c>
      <c r="B50" s="108">
        <v>2</v>
      </c>
      <c r="C50" s="25"/>
      <c r="D50" s="28" t="s">
        <v>322</v>
      </c>
      <c r="E50" s="28" t="s">
        <v>1971</v>
      </c>
      <c r="F50" s="31"/>
      <c r="G50" s="78" t="s">
        <v>402</v>
      </c>
    </row>
    <row r="51" spans="1:7" x14ac:dyDescent="0.25">
      <c r="A51" s="108">
        <v>9</v>
      </c>
      <c r="B51" s="108">
        <v>2</v>
      </c>
      <c r="C51" s="25"/>
      <c r="D51" s="28" t="s">
        <v>327</v>
      </c>
      <c r="E51" s="28" t="s">
        <v>1972</v>
      </c>
      <c r="F51" s="31"/>
      <c r="G51" s="32" t="s">
        <v>1973</v>
      </c>
    </row>
    <row r="52" spans="1:7" x14ac:dyDescent="0.25">
      <c r="A52" s="108">
        <v>9</v>
      </c>
      <c r="B52" s="108">
        <v>2</v>
      </c>
      <c r="C52" s="25"/>
      <c r="D52" s="28" t="s">
        <v>330</v>
      </c>
      <c r="E52" s="28" t="s">
        <v>1974</v>
      </c>
      <c r="F52" s="31"/>
      <c r="G52" s="32" t="s">
        <v>1975</v>
      </c>
    </row>
    <row r="53" spans="1:7" x14ac:dyDescent="0.25">
      <c r="A53" s="108">
        <v>9</v>
      </c>
      <c r="B53" s="108">
        <v>2</v>
      </c>
      <c r="C53" s="25"/>
      <c r="D53" s="28" t="s">
        <v>332</v>
      </c>
      <c r="E53" s="28" t="s">
        <v>1976</v>
      </c>
      <c r="F53" s="29">
        <f>F51-F52</f>
        <v>0</v>
      </c>
      <c r="G53" s="30" t="s">
        <v>1977</v>
      </c>
    </row>
    <row r="54" spans="1:7" ht="15.75" thickBot="1" x14ac:dyDescent="0.3">
      <c r="A54" s="108">
        <v>9</v>
      </c>
      <c r="B54" s="108">
        <v>2</v>
      </c>
      <c r="C54" s="25"/>
      <c r="D54" s="28" t="s">
        <v>335</v>
      </c>
      <c r="E54" s="28" t="s">
        <v>1949</v>
      </c>
      <c r="F54" s="29">
        <f>F43</f>
        <v>1508</v>
      </c>
      <c r="G54" s="30" t="s">
        <v>1978</v>
      </c>
    </row>
    <row r="55" spans="1:7" ht="15.75" thickBot="1" x14ac:dyDescent="0.3">
      <c r="A55" s="108">
        <v>9</v>
      </c>
      <c r="B55" s="108">
        <v>2</v>
      </c>
      <c r="E55" s="45" t="s">
        <v>1979</v>
      </c>
      <c r="F55" s="46">
        <f>IFERROR(F52/F51,0)</f>
        <v>0</v>
      </c>
      <c r="G55" s="37" t="s">
        <v>348</v>
      </c>
    </row>
    <row r="56" spans="1:7" ht="15.75" thickBot="1" x14ac:dyDescent="0.3">
      <c r="A56" s="108">
        <v>9</v>
      </c>
      <c r="B56" s="108">
        <v>2</v>
      </c>
      <c r="E56" s="47" t="s">
        <v>1980</v>
      </c>
      <c r="F56" s="44">
        <f>IF(F50=0,0,IF(F54&lt;=GlobalSettings!$C$8,F55,IF(GlobalSettings!$C$10="No",0,F55*(GlobalSettings!$C$6-0.01))))</f>
        <v>0</v>
      </c>
      <c r="G56" s="37" t="s">
        <v>1981</v>
      </c>
    </row>
    <row r="58" spans="1:7" s="1" customFormat="1" ht="45" customHeight="1" x14ac:dyDescent="0.25">
      <c r="A58" s="108">
        <v>9</v>
      </c>
      <c r="B58" s="108">
        <v>2</v>
      </c>
      <c r="C58" s="51"/>
      <c r="D58" s="112"/>
      <c r="E58" s="152" t="s">
        <v>2080</v>
      </c>
      <c r="F58" s="147" t="s">
        <v>2053</v>
      </c>
      <c r="G58" s="159"/>
    </row>
    <row r="59" spans="1:7" s="1" customFormat="1" x14ac:dyDescent="0.25">
      <c r="A59" s="64"/>
      <c r="B59" s="64"/>
      <c r="C59" s="112"/>
      <c r="D59" s="112"/>
      <c r="E59" s="112"/>
      <c r="F59" s="56"/>
      <c r="G59" s="150"/>
    </row>
    <row r="60" spans="1:7" x14ac:dyDescent="0.25">
      <c r="A60" s="108">
        <v>9</v>
      </c>
      <c r="B60" s="108">
        <v>2</v>
      </c>
      <c r="C60" s="146">
        <v>17.059999999999999</v>
      </c>
      <c r="D60" s="215" t="s">
        <v>308</v>
      </c>
      <c r="E60" s="215"/>
      <c r="F60" s="27" t="s">
        <v>320</v>
      </c>
      <c r="G60" s="146" t="s">
        <v>321</v>
      </c>
    </row>
    <row r="61" spans="1:7" x14ac:dyDescent="0.25">
      <c r="A61" s="108">
        <v>9</v>
      </c>
      <c r="B61" s="108">
        <v>2</v>
      </c>
      <c r="C61" s="25"/>
      <c r="D61" s="28" t="s">
        <v>322</v>
      </c>
      <c r="E61" s="28" t="s">
        <v>1982</v>
      </c>
      <c r="F61" s="31"/>
      <c r="G61" s="78" t="s">
        <v>402</v>
      </c>
    </row>
    <row r="62" spans="1:7" x14ac:dyDescent="0.25">
      <c r="A62" s="108">
        <v>9</v>
      </c>
      <c r="B62" s="108">
        <v>2</v>
      </c>
      <c r="C62" s="25"/>
      <c r="D62" s="28" t="s">
        <v>327</v>
      </c>
      <c r="E62" s="28" t="s">
        <v>1983</v>
      </c>
      <c r="F62" s="124">
        <f>SUM(F63:F64)</f>
        <v>0</v>
      </c>
      <c r="G62" s="132"/>
    </row>
    <row r="63" spans="1:7" x14ac:dyDescent="0.25">
      <c r="A63" s="108">
        <v>9</v>
      </c>
      <c r="B63" s="108">
        <v>2</v>
      </c>
      <c r="C63" s="25"/>
      <c r="D63" s="28" t="s">
        <v>400</v>
      </c>
      <c r="E63" s="28" t="s">
        <v>1984</v>
      </c>
      <c r="F63" s="31"/>
      <c r="G63" s="78" t="s">
        <v>402</v>
      </c>
    </row>
    <row r="64" spans="1:7" x14ac:dyDescent="0.25">
      <c r="A64" s="108">
        <v>9</v>
      </c>
      <c r="B64" s="108">
        <v>2</v>
      </c>
      <c r="C64" s="25"/>
      <c r="D64" s="28" t="s">
        <v>403</v>
      </c>
      <c r="E64" s="28" t="s">
        <v>1985</v>
      </c>
      <c r="F64" s="31"/>
      <c r="G64" s="78" t="s">
        <v>402</v>
      </c>
    </row>
    <row r="65" spans="1:7" ht="15.75" thickBot="1" x14ac:dyDescent="0.3">
      <c r="A65" s="108">
        <v>9</v>
      </c>
      <c r="B65" s="108">
        <v>2</v>
      </c>
      <c r="C65" s="25"/>
      <c r="D65" s="28" t="s">
        <v>330</v>
      </c>
      <c r="E65" s="28" t="s">
        <v>1949</v>
      </c>
      <c r="F65" s="29">
        <f>F43</f>
        <v>1508</v>
      </c>
      <c r="G65" s="30" t="s">
        <v>1978</v>
      </c>
    </row>
    <row r="66" spans="1:7" ht="30.75" thickBot="1" x14ac:dyDescent="0.3">
      <c r="A66" s="108">
        <v>9</v>
      </c>
      <c r="B66" s="108">
        <v>2</v>
      </c>
      <c r="E66" s="45" t="s">
        <v>1950</v>
      </c>
      <c r="F66" s="46">
        <f>IFERROR(F62/2,0)</f>
        <v>0</v>
      </c>
      <c r="G66" s="37" t="s">
        <v>1829</v>
      </c>
    </row>
    <row r="67" spans="1:7" ht="15.75" thickBot="1" x14ac:dyDescent="0.3">
      <c r="A67" s="108">
        <v>9</v>
      </c>
      <c r="B67" s="108">
        <v>2</v>
      </c>
      <c r="E67" s="47" t="s">
        <v>1986</v>
      </c>
      <c r="F67" s="44">
        <f>IF(F61=0,0,IF(F65&lt;=GlobalSettings!$C$8,F66,IF(GlobalSettings!$C$10="No",0,F66*(GlobalSettings!$C$6-0.01))))</f>
        <v>0</v>
      </c>
      <c r="G67" s="37" t="s">
        <v>1956</v>
      </c>
    </row>
    <row r="69" spans="1:7" s="1" customFormat="1" ht="45" customHeight="1" x14ac:dyDescent="0.25">
      <c r="A69" s="108">
        <v>9</v>
      </c>
      <c r="B69" s="108">
        <v>2</v>
      </c>
      <c r="C69" s="51"/>
      <c r="D69" s="112"/>
      <c r="E69" s="152" t="s">
        <v>2080</v>
      </c>
      <c r="F69" s="147" t="s">
        <v>2053</v>
      </c>
      <c r="G69" s="159"/>
    </row>
    <row r="70" spans="1:7" s="1" customFormat="1" x14ac:dyDescent="0.25">
      <c r="A70" s="64"/>
      <c r="B70" s="64"/>
      <c r="C70" s="112"/>
      <c r="D70" s="112"/>
      <c r="E70" s="112"/>
      <c r="F70" s="56"/>
      <c r="G70" s="150"/>
    </row>
    <row r="71" spans="1:7" x14ac:dyDescent="0.25">
      <c r="A71" s="108">
        <v>9</v>
      </c>
      <c r="B71" s="108">
        <v>2</v>
      </c>
      <c r="C71" s="146">
        <v>17.07</v>
      </c>
      <c r="D71" s="215" t="s">
        <v>309</v>
      </c>
      <c r="E71" s="215"/>
      <c r="F71" s="27" t="s">
        <v>320</v>
      </c>
      <c r="G71" s="146" t="s">
        <v>321</v>
      </c>
    </row>
    <row r="72" spans="1:7" ht="30" x14ac:dyDescent="0.25">
      <c r="A72" s="108">
        <v>9</v>
      </c>
      <c r="B72" s="108">
        <v>2</v>
      </c>
      <c r="C72" s="25"/>
      <c r="D72" s="28" t="s">
        <v>322</v>
      </c>
      <c r="E72" s="28" t="s">
        <v>1987</v>
      </c>
      <c r="F72" s="31"/>
      <c r="G72" s="78" t="s">
        <v>402</v>
      </c>
    </row>
    <row r="73" spans="1:7" x14ac:dyDescent="0.25">
      <c r="A73" s="108">
        <v>9</v>
      </c>
      <c r="B73" s="108">
        <v>2</v>
      </c>
      <c r="C73" s="25"/>
      <c r="D73" s="28" t="s">
        <v>327</v>
      </c>
      <c r="E73" s="28" t="s">
        <v>1945</v>
      </c>
      <c r="F73" s="124">
        <f>SUM(F74:F76)</f>
        <v>0</v>
      </c>
      <c r="G73" s="76"/>
    </row>
    <row r="74" spans="1:7" x14ac:dyDescent="0.25">
      <c r="A74" s="108">
        <v>9</v>
      </c>
      <c r="B74" s="108">
        <v>2</v>
      </c>
      <c r="C74" s="25"/>
      <c r="D74" s="28" t="s">
        <v>400</v>
      </c>
      <c r="E74" s="28" t="s">
        <v>1988</v>
      </c>
      <c r="F74" s="31"/>
      <c r="G74" s="78" t="s">
        <v>402</v>
      </c>
    </row>
    <row r="75" spans="1:7" x14ac:dyDescent="0.25">
      <c r="A75" s="108">
        <v>9</v>
      </c>
      <c r="B75" s="108">
        <v>2</v>
      </c>
      <c r="C75" s="25"/>
      <c r="D75" s="28" t="s">
        <v>403</v>
      </c>
      <c r="E75" s="28" t="s">
        <v>1989</v>
      </c>
      <c r="F75" s="31"/>
      <c r="G75" s="78" t="s">
        <v>402</v>
      </c>
    </row>
    <row r="76" spans="1:7" x14ac:dyDescent="0.25">
      <c r="A76" s="108">
        <v>9</v>
      </c>
      <c r="B76" s="108">
        <v>2</v>
      </c>
      <c r="C76" s="25"/>
      <c r="D76" s="28" t="s">
        <v>405</v>
      </c>
      <c r="E76" s="28" t="s">
        <v>1990</v>
      </c>
      <c r="F76" s="31"/>
      <c r="G76" s="78" t="s">
        <v>402</v>
      </c>
    </row>
    <row r="77" spans="1:7" ht="15.75" thickBot="1" x14ac:dyDescent="0.3">
      <c r="A77" s="108">
        <v>9</v>
      </c>
      <c r="B77" s="108">
        <v>2</v>
      </c>
      <c r="C77" s="25"/>
      <c r="D77" s="28" t="s">
        <v>330</v>
      </c>
      <c r="E77" s="28" t="s">
        <v>1991</v>
      </c>
      <c r="F77" s="31"/>
      <c r="G77" s="32" t="s">
        <v>1992</v>
      </c>
    </row>
    <row r="78" spans="1:7" ht="15.75" thickBot="1" x14ac:dyDescent="0.3">
      <c r="A78" s="108">
        <v>9</v>
      </c>
      <c r="B78" s="108">
        <v>2</v>
      </c>
      <c r="E78" s="45" t="s">
        <v>1993</v>
      </c>
      <c r="F78" s="46">
        <f>IFERROR(F73/3,0)</f>
        <v>0</v>
      </c>
      <c r="G78" s="37" t="s">
        <v>1106</v>
      </c>
    </row>
    <row r="79" spans="1:7" ht="15.75" thickBot="1" x14ac:dyDescent="0.3">
      <c r="A79" s="108">
        <v>9</v>
      </c>
      <c r="B79" s="108">
        <v>2</v>
      </c>
      <c r="E79" s="47" t="s">
        <v>1994</v>
      </c>
      <c r="F79" s="44">
        <f>IF(F72=0,0,IF(F77&gt;12,0,F78))</f>
        <v>0</v>
      </c>
      <c r="G79" s="37" t="s">
        <v>1995</v>
      </c>
    </row>
    <row r="81" spans="1:7" s="1" customFormat="1" ht="45" customHeight="1" x14ac:dyDescent="0.25">
      <c r="A81" s="108">
        <v>9</v>
      </c>
      <c r="B81" s="108">
        <v>2</v>
      </c>
      <c r="C81" s="51"/>
      <c r="D81" s="112"/>
      <c r="E81" s="152" t="s">
        <v>2080</v>
      </c>
      <c r="F81" s="147" t="s">
        <v>2053</v>
      </c>
      <c r="G81" s="159"/>
    </row>
    <row r="82" spans="1:7" s="1" customFormat="1" x14ac:dyDescent="0.25">
      <c r="A82" s="64"/>
      <c r="B82" s="64"/>
      <c r="C82" s="112"/>
      <c r="D82" s="112"/>
      <c r="E82" s="112"/>
      <c r="F82" s="56"/>
      <c r="G82" s="150"/>
    </row>
    <row r="83" spans="1:7" x14ac:dyDescent="0.25">
      <c r="A83" s="108">
        <v>9</v>
      </c>
      <c r="B83" s="108">
        <v>2</v>
      </c>
      <c r="C83" s="146">
        <v>17.079999999999998</v>
      </c>
      <c r="D83" s="215" t="s">
        <v>310</v>
      </c>
      <c r="E83" s="215"/>
      <c r="F83" s="27" t="s">
        <v>320</v>
      </c>
      <c r="G83" s="146" t="s">
        <v>321</v>
      </c>
    </row>
    <row r="84" spans="1:7" ht="30" x14ac:dyDescent="0.25">
      <c r="A84" s="108">
        <v>9</v>
      </c>
      <c r="B84" s="108">
        <v>2</v>
      </c>
      <c r="C84" s="25"/>
      <c r="D84" s="28" t="s">
        <v>322</v>
      </c>
      <c r="E84" s="28" t="s">
        <v>1996</v>
      </c>
      <c r="F84" s="31"/>
      <c r="G84" s="78" t="s">
        <v>402</v>
      </c>
    </row>
    <row r="85" spans="1:7" ht="30" x14ac:dyDescent="0.25">
      <c r="A85" s="108">
        <v>9</v>
      </c>
      <c r="B85" s="108">
        <v>2</v>
      </c>
      <c r="C85" s="25"/>
      <c r="D85" s="28" t="s">
        <v>327</v>
      </c>
      <c r="E85" s="28" t="s">
        <v>1997</v>
      </c>
      <c r="F85" s="124">
        <f>SUM(F86:F87)</f>
        <v>0</v>
      </c>
      <c r="G85" s="141"/>
    </row>
    <row r="86" spans="1:7" x14ac:dyDescent="0.25">
      <c r="A86" s="108">
        <v>9</v>
      </c>
      <c r="B86" s="108">
        <v>2</v>
      </c>
      <c r="C86" s="25"/>
      <c r="D86" s="28" t="s">
        <v>400</v>
      </c>
      <c r="E86" s="28" t="s">
        <v>1998</v>
      </c>
      <c r="F86" s="31"/>
      <c r="G86" s="78" t="s">
        <v>402</v>
      </c>
    </row>
    <row r="87" spans="1:7" ht="15.75" thickBot="1" x14ac:dyDescent="0.3">
      <c r="A87" s="108">
        <v>9</v>
      </c>
      <c r="B87" s="108">
        <v>2</v>
      </c>
      <c r="C87" s="25"/>
      <c r="D87" s="28" t="s">
        <v>403</v>
      </c>
      <c r="E87" s="28" t="s">
        <v>1999</v>
      </c>
      <c r="F87" s="31"/>
      <c r="G87" s="78" t="s">
        <v>402</v>
      </c>
    </row>
    <row r="88" spans="1:7" ht="30.75" thickBot="1" x14ac:dyDescent="0.3">
      <c r="A88" s="108">
        <v>9</v>
      </c>
      <c r="B88" s="108">
        <v>2</v>
      </c>
      <c r="E88" s="45" t="s">
        <v>2000</v>
      </c>
      <c r="F88" s="46">
        <f>IFERROR(F85/2,0)</f>
        <v>0</v>
      </c>
      <c r="G88" s="37" t="s">
        <v>1829</v>
      </c>
    </row>
    <row r="89" spans="1:7" ht="15.75" thickBot="1" x14ac:dyDescent="0.3">
      <c r="A89" s="108">
        <v>9</v>
      </c>
      <c r="B89" s="108">
        <v>2</v>
      </c>
      <c r="E89" s="47" t="s">
        <v>2001</v>
      </c>
      <c r="F89" s="44">
        <f>IF(F84=0,0,F88)</f>
        <v>0</v>
      </c>
      <c r="G89" s="37" t="s">
        <v>2002</v>
      </c>
    </row>
    <row r="91" spans="1:7" s="1" customFormat="1" ht="45" customHeight="1" x14ac:dyDescent="0.25">
      <c r="A91" s="108">
        <v>9</v>
      </c>
      <c r="B91" s="108">
        <v>2</v>
      </c>
      <c r="C91" s="51"/>
      <c r="D91" s="112"/>
      <c r="E91" s="152" t="s">
        <v>2080</v>
      </c>
      <c r="F91" s="147" t="s">
        <v>2053</v>
      </c>
      <c r="G91" s="159"/>
    </row>
    <row r="92" spans="1:7" s="1" customFormat="1" x14ac:dyDescent="0.25">
      <c r="A92" s="64"/>
      <c r="B92" s="64"/>
      <c r="C92" s="112"/>
      <c r="D92" s="112"/>
      <c r="E92" s="112"/>
      <c r="F92" s="56"/>
      <c r="G92" s="150"/>
    </row>
    <row r="93" spans="1:7" x14ac:dyDescent="0.25">
      <c r="A93" s="108">
        <v>9</v>
      </c>
      <c r="B93" s="108">
        <v>3</v>
      </c>
      <c r="C93" s="146">
        <v>17.09</v>
      </c>
      <c r="D93" s="215" t="s">
        <v>311</v>
      </c>
      <c r="E93" s="215"/>
      <c r="F93" s="27" t="s">
        <v>320</v>
      </c>
      <c r="G93" s="146" t="s">
        <v>321</v>
      </c>
    </row>
    <row r="94" spans="1:7" x14ac:dyDescent="0.25">
      <c r="A94" s="108">
        <v>9</v>
      </c>
      <c r="B94" s="108">
        <v>3</v>
      </c>
      <c r="C94" s="25"/>
      <c r="D94" s="28" t="s">
        <v>322</v>
      </c>
      <c r="E94" s="28" t="s">
        <v>2003</v>
      </c>
      <c r="F94" s="31"/>
      <c r="G94" s="78" t="s">
        <v>402</v>
      </c>
    </row>
    <row r="95" spans="1:7" x14ac:dyDescent="0.25">
      <c r="A95" s="108">
        <v>9</v>
      </c>
      <c r="B95" s="108">
        <v>3</v>
      </c>
      <c r="C95" s="25"/>
      <c r="D95" s="28" t="s">
        <v>327</v>
      </c>
      <c r="E95" s="28" t="s">
        <v>2004</v>
      </c>
      <c r="F95" s="124">
        <f>SUM(F96:F99)</f>
        <v>0</v>
      </c>
      <c r="G95" s="30"/>
    </row>
    <row r="96" spans="1:7" x14ac:dyDescent="0.25">
      <c r="A96" s="108">
        <v>9</v>
      </c>
      <c r="B96" s="108">
        <v>3</v>
      </c>
      <c r="C96" s="25"/>
      <c r="D96" s="28" t="s">
        <v>400</v>
      </c>
      <c r="E96" s="28" t="s">
        <v>2005</v>
      </c>
      <c r="F96" s="31"/>
      <c r="G96" s="78" t="s">
        <v>402</v>
      </c>
    </row>
    <row r="97" spans="1:7" ht="30" x14ac:dyDescent="0.25">
      <c r="A97" s="108">
        <v>9</v>
      </c>
      <c r="B97" s="108">
        <v>3</v>
      </c>
      <c r="C97" s="25"/>
      <c r="D97" s="28" t="s">
        <v>403</v>
      </c>
      <c r="E97" s="28" t="s">
        <v>2006</v>
      </c>
      <c r="F97" s="31"/>
      <c r="G97" s="78" t="s">
        <v>402</v>
      </c>
    </row>
    <row r="98" spans="1:7" ht="30" x14ac:dyDescent="0.25">
      <c r="A98" s="108">
        <v>9</v>
      </c>
      <c r="B98" s="108">
        <v>3</v>
      </c>
      <c r="C98" s="25"/>
      <c r="D98" s="28" t="s">
        <v>405</v>
      </c>
      <c r="E98" s="28" t="s">
        <v>2007</v>
      </c>
      <c r="F98" s="31"/>
      <c r="G98" s="78" t="s">
        <v>402</v>
      </c>
    </row>
    <row r="99" spans="1:7" ht="30" x14ac:dyDescent="0.25">
      <c r="A99" s="108">
        <v>9</v>
      </c>
      <c r="B99" s="108">
        <v>3</v>
      </c>
      <c r="C99" s="25"/>
      <c r="D99" s="28" t="s">
        <v>407</v>
      </c>
      <c r="E99" s="28" t="s">
        <v>2008</v>
      </c>
      <c r="F99" s="31"/>
      <c r="G99" s="78" t="s">
        <v>402</v>
      </c>
    </row>
    <row r="100" spans="1:7" ht="15.75" thickBot="1" x14ac:dyDescent="0.3">
      <c r="A100" s="108">
        <v>9</v>
      </c>
      <c r="B100" s="108">
        <v>3</v>
      </c>
      <c r="C100" s="25"/>
      <c r="D100" s="28" t="s">
        <v>330</v>
      </c>
      <c r="E100" s="28" t="s">
        <v>1949</v>
      </c>
      <c r="F100" s="29">
        <f>F43</f>
        <v>1508</v>
      </c>
      <c r="G100" s="30" t="s">
        <v>1978</v>
      </c>
    </row>
    <row r="101" spans="1:7" ht="15.75" thickBot="1" x14ac:dyDescent="0.3">
      <c r="A101" s="108">
        <v>9</v>
      </c>
      <c r="B101" s="108">
        <v>3</v>
      </c>
      <c r="E101" s="45" t="s">
        <v>2009</v>
      </c>
      <c r="F101" s="46">
        <f>IFERROR(F95/4,0)</f>
        <v>0</v>
      </c>
      <c r="G101" s="37" t="s">
        <v>1963</v>
      </c>
    </row>
    <row r="102" spans="1:7" ht="15.75" thickBot="1" x14ac:dyDescent="0.3">
      <c r="A102" s="108">
        <v>9</v>
      </c>
      <c r="B102" s="108">
        <v>3</v>
      </c>
      <c r="E102" s="47" t="s">
        <v>2010</v>
      </c>
      <c r="F102" s="44">
        <f>IF(F94=0,0,IF(F100&lt;=GlobalSettings!$C$8,F101,IF(GlobalSettings!$C$10="No",0,F101*(GlobalSettings!$C$6-0.01))))</f>
        <v>0</v>
      </c>
      <c r="G102" s="37" t="s">
        <v>1956</v>
      </c>
    </row>
    <row r="104" spans="1:7" s="1" customFormat="1" ht="45" customHeight="1" x14ac:dyDescent="0.25">
      <c r="A104" s="108">
        <v>9</v>
      </c>
      <c r="B104" s="108">
        <v>3</v>
      </c>
      <c r="C104" s="51"/>
      <c r="D104" s="112"/>
      <c r="E104" s="152" t="s">
        <v>2080</v>
      </c>
      <c r="F104" s="147" t="s">
        <v>2053</v>
      </c>
      <c r="G104" s="159"/>
    </row>
    <row r="105" spans="1:7" s="1" customFormat="1" x14ac:dyDescent="0.25">
      <c r="A105" s="64"/>
      <c r="B105" s="64"/>
      <c r="C105" s="112"/>
      <c r="D105" s="112"/>
      <c r="E105" s="112"/>
      <c r="F105" s="56"/>
      <c r="G105" s="150"/>
    </row>
  </sheetData>
  <sheetProtection algorithmName="SHA-512" hashValue="3L857ksKxxPoLxNvx8TZNTM4NBumdkLsXcy3TyiQHzFJ1ORNMxDmQanHX/NrAlYSoyPFkdpX+VG+1jWZFjoNIQ==" saltValue="FaMUdrkS5wxjxnMASIuCyg==" spinCount="100000" sheet="1" formatRows="0" selectLockedCells="1"/>
  <mergeCells count="10">
    <mergeCell ref="D49:E49"/>
    <mergeCell ref="D60:E60"/>
    <mergeCell ref="D71:E71"/>
    <mergeCell ref="D83:E83"/>
    <mergeCell ref="D93:E93"/>
    <mergeCell ref="C2:E2"/>
    <mergeCell ref="D4:E4"/>
    <mergeCell ref="D16:E16"/>
    <mergeCell ref="D23:E23"/>
    <mergeCell ref="D37:E37"/>
  </mergeCells>
  <conditionalFormatting sqref="E1:E1048576">
    <cfRule type="containsText" dxfId="5" priority="2" operator="containsText" text="Safeguard Scoring Complete">
      <formula>NOT(ISERROR(SEARCH("Safeguard Scoring Complete",E1)))</formula>
    </cfRule>
    <cfRule type="containsText" dxfId="4" priority="53" operator="containsText" text="Safeguard Scoring Incomplete">
      <formula>NOT(ISERROR(SEARCH("Safeguard Scoring Incomplete",E1)))</formula>
    </cfRule>
  </conditionalFormatting>
  <dataValidations count="3">
    <dataValidation type="list" allowBlank="1" showInputMessage="1" showErrorMessage="1" sqref="F2" xr:uid="{59BD3417-F7FE-49E2-8A71-EE9213408613}">
      <formula1>"Assessed,Not Assessed"</formula1>
    </dataValidation>
    <dataValidation type="list" allowBlank="1" showInputMessage="1" showErrorMessage="1" sqref="F50 F40:F42 F63:F64 F74:F76 F84:F87 F31 F17 F24 F7:F9 F26:F29 F61 F72 F94 F96:F99" xr:uid="{EEDA11DE-D8E9-4559-9033-5CB3969E86DF}">
      <formula1>"0,1"</formula1>
    </dataValidation>
    <dataValidation type="list" allowBlank="1" showInputMessage="1" showErrorMessage="1" sqref="E14 E21 E35 E47 E58 E69 E81 E91 E104" xr:uid="{94415412-6B15-4629-AD88-D051D7D14CCC}">
      <formula1>"Safeguard Scoring Complete,Safeguard Scoring Incomplete"</formula1>
    </dataValidation>
  </dataValidations>
  <hyperlinks>
    <hyperlink ref="G2" r:id="rId1" xr:uid="{CA3ED13F-538B-444F-ABE5-7B180DFBCAB9}"/>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E92BFE2-C006-4B0C-9BBD-2E39D006F382}">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18CA3-133E-4A0D-80E8-A1D27B34704B}">
  <sheetPr codeName="Sheet21"/>
  <dimension ref="A2:G50"/>
  <sheetViews>
    <sheetView showGridLines="0" workbookViewId="0">
      <selection activeCell="E22" sqref="E22"/>
    </sheetView>
  </sheetViews>
  <sheetFormatPr defaultColWidth="9.140625" defaultRowHeight="15" x14ac:dyDescent="0.25"/>
  <cols>
    <col min="1" max="2" width="2.7109375" style="108" customWidth="1"/>
    <col min="3" max="3" width="6.28515625" style="51" customWidth="1"/>
    <col min="4" max="4" width="5.7109375" style="51" customWidth="1"/>
    <col min="5" max="5" width="90.7109375" style="51" customWidth="1"/>
    <col min="6" max="6" width="15.7109375" style="56" customWidth="1"/>
    <col min="7" max="7" width="120.7109375" style="25" customWidth="1"/>
    <col min="8" max="16384" width="9.140625" style="51"/>
  </cols>
  <sheetData>
    <row r="2" spans="1:7" ht="15.75" x14ac:dyDescent="0.25">
      <c r="C2" s="214" t="s">
        <v>2011</v>
      </c>
      <c r="D2" s="214"/>
      <c r="E2" s="214"/>
      <c r="F2" s="100" t="s">
        <v>318</v>
      </c>
      <c r="G2" s="208" t="s">
        <v>2202</v>
      </c>
    </row>
    <row r="4" spans="1:7" x14ac:dyDescent="0.25">
      <c r="A4" s="108">
        <v>9</v>
      </c>
      <c r="B4" s="108">
        <v>2</v>
      </c>
      <c r="C4" s="146">
        <v>18.010000000000002</v>
      </c>
      <c r="D4" s="215" t="s">
        <v>312</v>
      </c>
      <c r="E4" s="215"/>
      <c r="F4" s="27" t="s">
        <v>320</v>
      </c>
      <c r="G4" s="146" t="s">
        <v>321</v>
      </c>
    </row>
    <row r="5" spans="1:7" ht="30" x14ac:dyDescent="0.25">
      <c r="A5" s="108">
        <v>9</v>
      </c>
      <c r="B5" s="108">
        <v>2</v>
      </c>
      <c r="C5" s="25"/>
      <c r="D5" s="28" t="s">
        <v>322</v>
      </c>
      <c r="E5" s="28" t="s">
        <v>2012</v>
      </c>
      <c r="F5" s="57">
        <f>IF(Artifacts!$E$34="Artifact Provided",1,0)</f>
        <v>0</v>
      </c>
      <c r="G5" s="76" t="s">
        <v>324</v>
      </c>
    </row>
    <row r="6" spans="1:7" x14ac:dyDescent="0.25">
      <c r="A6" s="108">
        <v>9</v>
      </c>
      <c r="B6" s="108">
        <v>2</v>
      </c>
      <c r="C6" s="25"/>
      <c r="D6" s="28" t="s">
        <v>327</v>
      </c>
      <c r="E6" s="28" t="s">
        <v>1945</v>
      </c>
      <c r="F6" s="124">
        <f>SUM(F7:F11)</f>
        <v>0</v>
      </c>
      <c r="G6" s="132" t="s">
        <v>2013</v>
      </c>
    </row>
    <row r="7" spans="1:7" x14ac:dyDescent="0.25">
      <c r="A7" s="108">
        <v>9</v>
      </c>
      <c r="B7" s="108">
        <v>2</v>
      </c>
      <c r="C7" s="25"/>
      <c r="D7" s="28" t="s">
        <v>400</v>
      </c>
      <c r="E7" s="28" t="s">
        <v>2014</v>
      </c>
      <c r="F7" s="31"/>
      <c r="G7" s="161" t="s">
        <v>978</v>
      </c>
    </row>
    <row r="8" spans="1:7" x14ac:dyDescent="0.25">
      <c r="A8" s="108">
        <v>9</v>
      </c>
      <c r="B8" s="108">
        <v>2</v>
      </c>
      <c r="C8" s="25"/>
      <c r="D8" s="28" t="s">
        <v>403</v>
      </c>
      <c r="E8" s="28" t="s">
        <v>2015</v>
      </c>
      <c r="F8" s="31"/>
      <c r="G8" s="161" t="s">
        <v>978</v>
      </c>
    </row>
    <row r="9" spans="1:7" x14ac:dyDescent="0.25">
      <c r="A9" s="108">
        <v>9</v>
      </c>
      <c r="B9" s="108">
        <v>2</v>
      </c>
      <c r="C9" s="25"/>
      <c r="D9" s="28" t="s">
        <v>405</v>
      </c>
      <c r="E9" s="28" t="s">
        <v>2016</v>
      </c>
      <c r="F9" s="31"/>
      <c r="G9" s="161" t="s">
        <v>978</v>
      </c>
    </row>
    <row r="10" spans="1:7" x14ac:dyDescent="0.25">
      <c r="A10" s="108">
        <v>9</v>
      </c>
      <c r="B10" s="108">
        <v>2</v>
      </c>
      <c r="C10" s="25"/>
      <c r="D10" s="28" t="s">
        <v>407</v>
      </c>
      <c r="E10" s="28" t="s">
        <v>2017</v>
      </c>
      <c r="F10" s="31"/>
      <c r="G10" s="161" t="s">
        <v>978</v>
      </c>
    </row>
    <row r="11" spans="1:7" x14ac:dyDescent="0.25">
      <c r="A11" s="108">
        <v>9</v>
      </c>
      <c r="B11" s="108">
        <v>2</v>
      </c>
      <c r="C11" s="25"/>
      <c r="D11" s="28" t="s">
        <v>409</v>
      </c>
      <c r="E11" s="28" t="s">
        <v>2018</v>
      </c>
      <c r="F11" s="31"/>
      <c r="G11" s="161" t="s">
        <v>978</v>
      </c>
    </row>
    <row r="12" spans="1:7" ht="15.75" thickBot="1" x14ac:dyDescent="0.3">
      <c r="A12" s="108">
        <v>9</v>
      </c>
      <c r="B12" s="108">
        <v>2</v>
      </c>
      <c r="C12" s="25"/>
      <c r="D12" s="28" t="s">
        <v>330</v>
      </c>
      <c r="E12" s="28" t="s">
        <v>2019</v>
      </c>
      <c r="F12" s="59">
        <f>DATEDIF(Artifacts!$F$34,GlobalSettings!$C$4,"m")</f>
        <v>1508</v>
      </c>
      <c r="G12" s="77" t="s">
        <v>1104</v>
      </c>
    </row>
    <row r="13" spans="1:7" ht="15.75" thickBot="1" x14ac:dyDescent="0.3">
      <c r="A13" s="108">
        <v>9</v>
      </c>
      <c r="B13" s="108">
        <v>2</v>
      </c>
      <c r="E13" s="45" t="s">
        <v>2020</v>
      </c>
      <c r="F13" s="46">
        <f>IFERROR(F11/5,0)</f>
        <v>0</v>
      </c>
      <c r="G13" s="37" t="s">
        <v>1751</v>
      </c>
    </row>
    <row r="14" spans="1:7" ht="15.75" thickBot="1" x14ac:dyDescent="0.3">
      <c r="A14" s="108">
        <v>9</v>
      </c>
      <c r="B14" s="108">
        <v>2</v>
      </c>
      <c r="E14" s="47" t="s">
        <v>2021</v>
      </c>
      <c r="F14" s="44">
        <f>IF(F10=0,0,IF(F12&lt;=GlobalSettings!$C$8,F13,IF(GlobalSettings!$C$10="No",0,F13*(GlobalSettings!$C$6-0.01))))</f>
        <v>0</v>
      </c>
      <c r="G14" s="37" t="s">
        <v>2022</v>
      </c>
    </row>
    <row r="16" spans="1:7" s="1" customFormat="1" ht="45" customHeight="1" x14ac:dyDescent="0.25">
      <c r="A16" s="108">
        <v>9</v>
      </c>
      <c r="B16" s="108">
        <v>2</v>
      </c>
      <c r="C16" s="51"/>
      <c r="D16" s="112"/>
      <c r="E16" s="152" t="s">
        <v>2080</v>
      </c>
      <c r="F16" s="147" t="s">
        <v>2053</v>
      </c>
      <c r="G16" s="159"/>
    </row>
    <row r="17" spans="1:7" s="1" customFormat="1" x14ac:dyDescent="0.25">
      <c r="A17" s="64"/>
      <c r="B17" s="64"/>
      <c r="C17" s="112"/>
      <c r="D17" s="112"/>
      <c r="E17" s="112"/>
      <c r="F17" s="56"/>
      <c r="G17" s="150"/>
    </row>
    <row r="18" spans="1:7" x14ac:dyDescent="0.25">
      <c r="A18" s="108">
        <v>0</v>
      </c>
      <c r="B18" s="108">
        <v>2</v>
      </c>
      <c r="C18" s="146">
        <v>18.02</v>
      </c>
      <c r="D18" s="215" t="s">
        <v>313</v>
      </c>
      <c r="E18" s="215"/>
      <c r="F18" s="27" t="s">
        <v>320</v>
      </c>
      <c r="G18" s="146" t="s">
        <v>321</v>
      </c>
    </row>
    <row r="19" spans="1:7" ht="15.75" thickBot="1" x14ac:dyDescent="0.3">
      <c r="A19" s="108">
        <v>0</v>
      </c>
      <c r="B19" s="108">
        <v>2</v>
      </c>
      <c r="C19" s="25"/>
      <c r="D19" s="28" t="s">
        <v>322</v>
      </c>
      <c r="E19" s="28" t="s">
        <v>2023</v>
      </c>
      <c r="F19" s="29">
        <f>DATEDIF(Artifacts!$F$35,GlobalSettings!$C$4,"m")</f>
        <v>1508</v>
      </c>
      <c r="G19" s="30"/>
    </row>
    <row r="20" spans="1:7" ht="15.75" thickBot="1" x14ac:dyDescent="0.3">
      <c r="A20" s="108">
        <v>0</v>
      </c>
      <c r="B20" s="108">
        <v>2</v>
      </c>
      <c r="E20" s="47" t="s">
        <v>2024</v>
      </c>
      <c r="F20" s="44">
        <f>IF(F19&gt;12,0,1)</f>
        <v>0</v>
      </c>
      <c r="G20" s="37" t="s">
        <v>2025</v>
      </c>
    </row>
    <row r="22" spans="1:7" s="1" customFormat="1" ht="45" customHeight="1" x14ac:dyDescent="0.25">
      <c r="A22" s="108">
        <v>0</v>
      </c>
      <c r="B22" s="108">
        <v>2</v>
      </c>
      <c r="C22" s="51"/>
      <c r="D22" s="112"/>
      <c r="E22" s="152" t="s">
        <v>2080</v>
      </c>
      <c r="F22" s="147" t="s">
        <v>2053</v>
      </c>
      <c r="G22" s="159"/>
    </row>
    <row r="23" spans="1:7" s="1" customFormat="1" x14ac:dyDescent="0.25">
      <c r="A23" s="64"/>
      <c r="B23" s="64"/>
      <c r="C23" s="112"/>
      <c r="D23" s="112"/>
      <c r="E23" s="112"/>
      <c r="F23" s="56"/>
      <c r="G23" s="150"/>
    </row>
    <row r="24" spans="1:7" x14ac:dyDescent="0.25">
      <c r="A24" s="108">
        <v>9</v>
      </c>
      <c r="B24" s="108">
        <v>2</v>
      </c>
      <c r="C24" s="146">
        <v>18.03</v>
      </c>
      <c r="D24" s="215" t="s">
        <v>314</v>
      </c>
      <c r="E24" s="215"/>
      <c r="F24" s="27" t="s">
        <v>320</v>
      </c>
      <c r="G24" s="146" t="s">
        <v>321</v>
      </c>
    </row>
    <row r="25" spans="1:7" ht="30" x14ac:dyDescent="0.25">
      <c r="A25" s="108">
        <v>9</v>
      </c>
      <c r="B25" s="108">
        <v>2</v>
      </c>
      <c r="C25" s="25"/>
      <c r="D25" s="28" t="s">
        <v>322</v>
      </c>
      <c r="E25" s="28" t="s">
        <v>2026</v>
      </c>
      <c r="F25" s="31"/>
      <c r="G25" s="32" t="s">
        <v>2027</v>
      </c>
    </row>
    <row r="26" spans="1:7" x14ac:dyDescent="0.25">
      <c r="A26" s="108">
        <v>9</v>
      </c>
      <c r="B26" s="108">
        <v>2</v>
      </c>
      <c r="C26" s="25"/>
      <c r="D26" s="28" t="s">
        <v>327</v>
      </c>
      <c r="E26" s="28" t="s">
        <v>2028</v>
      </c>
      <c r="F26" s="31"/>
      <c r="G26" s="32" t="s">
        <v>2029</v>
      </c>
    </row>
    <row r="27" spans="1:7" x14ac:dyDescent="0.25">
      <c r="A27" s="108">
        <v>9</v>
      </c>
      <c r="B27" s="108">
        <v>2</v>
      </c>
      <c r="C27" s="25"/>
      <c r="D27" s="28" t="s">
        <v>330</v>
      </c>
      <c r="E27" s="28" t="s">
        <v>2030</v>
      </c>
      <c r="F27" s="31"/>
      <c r="G27" s="32" t="s">
        <v>2031</v>
      </c>
    </row>
    <row r="28" spans="1:7" x14ac:dyDescent="0.25">
      <c r="A28" s="108">
        <v>9</v>
      </c>
      <c r="B28" s="108">
        <v>2</v>
      </c>
      <c r="C28" s="25"/>
      <c r="D28" s="28" t="s">
        <v>332</v>
      </c>
      <c r="E28" s="28" t="s">
        <v>2032</v>
      </c>
      <c r="F28" s="31"/>
      <c r="G28" s="32" t="s">
        <v>2033</v>
      </c>
    </row>
    <row r="29" spans="1:7" ht="15.75" thickBot="1" x14ac:dyDescent="0.3">
      <c r="A29" s="108">
        <v>9</v>
      </c>
      <c r="B29" s="108">
        <v>2</v>
      </c>
      <c r="C29" s="25"/>
      <c r="D29" s="28" t="s">
        <v>335</v>
      </c>
      <c r="E29" s="28" t="s">
        <v>2034</v>
      </c>
      <c r="F29" s="31"/>
      <c r="G29" s="32" t="s">
        <v>2035</v>
      </c>
    </row>
    <row r="30" spans="1:7" ht="30.75" thickBot="1" x14ac:dyDescent="0.3">
      <c r="A30" s="108">
        <v>9</v>
      </c>
      <c r="B30" s="108">
        <v>2</v>
      </c>
      <c r="E30" s="45" t="s">
        <v>2036</v>
      </c>
      <c r="F30" s="46">
        <f>IFERROR((F27+F28)/F25,0)</f>
        <v>0</v>
      </c>
      <c r="G30" s="37" t="s">
        <v>1281</v>
      </c>
    </row>
    <row r="31" spans="1:7" ht="15.75" thickBot="1" x14ac:dyDescent="0.3">
      <c r="A31" s="108">
        <v>9</v>
      </c>
      <c r="B31" s="108">
        <v>2</v>
      </c>
      <c r="E31" s="47" t="s">
        <v>2037</v>
      </c>
      <c r="F31" s="44">
        <f>F30</f>
        <v>0</v>
      </c>
      <c r="G31" s="37"/>
    </row>
    <row r="33" spans="1:7" s="1" customFormat="1" ht="45" customHeight="1" x14ac:dyDescent="0.25">
      <c r="A33" s="108">
        <v>9</v>
      </c>
      <c r="B33" s="108">
        <v>2</v>
      </c>
      <c r="C33" s="51"/>
      <c r="D33" s="112"/>
      <c r="E33" s="152" t="s">
        <v>2080</v>
      </c>
      <c r="F33" s="147" t="s">
        <v>2053</v>
      </c>
      <c r="G33" s="159"/>
    </row>
    <row r="34" spans="1:7" s="1" customFormat="1" x14ac:dyDescent="0.25">
      <c r="A34" s="64"/>
      <c r="B34" s="64"/>
      <c r="C34" s="112"/>
      <c r="D34" s="112"/>
      <c r="E34" s="112"/>
      <c r="F34" s="56"/>
      <c r="G34" s="150"/>
    </row>
    <row r="35" spans="1:7" x14ac:dyDescent="0.25">
      <c r="A35" s="108">
        <v>9</v>
      </c>
      <c r="B35" s="108">
        <v>3</v>
      </c>
      <c r="C35" s="146">
        <v>18.04</v>
      </c>
      <c r="D35" s="215" t="s">
        <v>315</v>
      </c>
      <c r="E35" s="215"/>
      <c r="F35" s="27" t="s">
        <v>320</v>
      </c>
      <c r="G35" s="146" t="s">
        <v>321</v>
      </c>
    </row>
    <row r="36" spans="1:7" ht="30" x14ac:dyDescent="0.25">
      <c r="A36" s="108">
        <v>9</v>
      </c>
      <c r="B36" s="108">
        <v>3</v>
      </c>
      <c r="C36" s="25"/>
      <c r="D36" s="28" t="s">
        <v>322</v>
      </c>
      <c r="E36" s="28" t="s">
        <v>2038</v>
      </c>
      <c r="F36" s="31"/>
      <c r="G36" s="76" t="s">
        <v>402</v>
      </c>
    </row>
    <row r="37" spans="1:7" ht="30" x14ac:dyDescent="0.25">
      <c r="A37" s="108">
        <v>9</v>
      </c>
      <c r="B37" s="108">
        <v>3</v>
      </c>
      <c r="C37" s="25"/>
      <c r="D37" s="28" t="s">
        <v>327</v>
      </c>
      <c r="E37" s="28" t="s">
        <v>2039</v>
      </c>
      <c r="F37" s="31"/>
      <c r="G37" s="32" t="s">
        <v>2040</v>
      </c>
    </row>
    <row r="38" spans="1:7" x14ac:dyDescent="0.25">
      <c r="A38" s="108">
        <v>9</v>
      </c>
      <c r="B38" s="108">
        <v>3</v>
      </c>
      <c r="C38" s="25"/>
      <c r="D38" s="28" t="s">
        <v>330</v>
      </c>
      <c r="E38" s="28" t="s">
        <v>2041</v>
      </c>
      <c r="F38" s="31"/>
      <c r="G38" s="32" t="s">
        <v>2042</v>
      </c>
    </row>
    <row r="39" spans="1:7" ht="15.75" thickBot="1" x14ac:dyDescent="0.3">
      <c r="A39" s="108">
        <v>9</v>
      </c>
      <c r="B39" s="108">
        <v>3</v>
      </c>
      <c r="C39" s="25"/>
      <c r="D39" s="28" t="s">
        <v>332</v>
      </c>
      <c r="E39" s="28" t="s">
        <v>2043</v>
      </c>
      <c r="F39" s="29">
        <f>IFERROR(F37-F38,0)</f>
        <v>0</v>
      </c>
      <c r="G39" s="30" t="s">
        <v>2044</v>
      </c>
    </row>
    <row r="40" spans="1:7" ht="15.75" thickBot="1" x14ac:dyDescent="0.3">
      <c r="A40" s="108">
        <v>9</v>
      </c>
      <c r="B40" s="108">
        <v>3</v>
      </c>
      <c r="E40" s="45" t="s">
        <v>2045</v>
      </c>
      <c r="F40" s="46">
        <f>IFERROR(F38/F37,0)</f>
        <v>0</v>
      </c>
      <c r="G40" s="37" t="s">
        <v>348</v>
      </c>
    </row>
    <row r="41" spans="1:7" ht="15.75" thickBot="1" x14ac:dyDescent="0.3">
      <c r="A41" s="108">
        <v>9</v>
      </c>
      <c r="B41" s="108">
        <v>3</v>
      </c>
      <c r="E41" s="47" t="s">
        <v>2046</v>
      </c>
      <c r="F41" s="44">
        <f>IF(F36=0,0,F40)</f>
        <v>0</v>
      </c>
      <c r="G41" s="37" t="s">
        <v>2002</v>
      </c>
    </row>
    <row r="43" spans="1:7" s="1" customFormat="1" ht="45" customHeight="1" x14ac:dyDescent="0.25">
      <c r="A43" s="108">
        <v>9</v>
      </c>
      <c r="B43" s="108">
        <v>3</v>
      </c>
      <c r="C43" s="51"/>
      <c r="D43" s="112"/>
      <c r="E43" s="152" t="s">
        <v>2080</v>
      </c>
      <c r="F43" s="147" t="s">
        <v>2053</v>
      </c>
      <c r="G43" s="159"/>
    </row>
    <row r="44" spans="1:7" s="1" customFormat="1" x14ac:dyDescent="0.25">
      <c r="A44" s="64"/>
      <c r="B44" s="64"/>
      <c r="C44" s="112"/>
      <c r="D44" s="112"/>
      <c r="E44" s="112"/>
      <c r="F44" s="56"/>
      <c r="G44" s="150"/>
    </row>
    <row r="45" spans="1:7" x14ac:dyDescent="0.25">
      <c r="A45" s="108">
        <v>9</v>
      </c>
      <c r="B45" s="108">
        <v>3</v>
      </c>
      <c r="C45" s="146">
        <v>18.05</v>
      </c>
      <c r="D45" s="215" t="s">
        <v>316</v>
      </c>
      <c r="E45" s="215"/>
      <c r="F45" s="27" t="s">
        <v>320</v>
      </c>
      <c r="G45" s="146" t="s">
        <v>321</v>
      </c>
    </row>
    <row r="46" spans="1:7" ht="30.75" thickBot="1" x14ac:dyDescent="0.3">
      <c r="A46" s="108">
        <v>9</v>
      </c>
      <c r="B46" s="108">
        <v>3</v>
      </c>
      <c r="C46" s="25"/>
      <c r="D46" s="28" t="s">
        <v>322</v>
      </c>
      <c r="E46" s="28" t="s">
        <v>2047</v>
      </c>
      <c r="F46" s="29">
        <f>DATEDIF(Artifacts!$F$36,GlobalSettings!$C$4,"m")</f>
        <v>1508</v>
      </c>
      <c r="G46" s="30" t="s">
        <v>2048</v>
      </c>
    </row>
    <row r="47" spans="1:7" ht="15.75" thickBot="1" x14ac:dyDescent="0.3">
      <c r="A47" s="108">
        <v>9</v>
      </c>
      <c r="B47" s="108">
        <v>3</v>
      </c>
      <c r="E47" s="47" t="s">
        <v>2049</v>
      </c>
      <c r="F47" s="44">
        <f>IF(ISBLANK(F46),0,IF(F46&gt;12,0,1))</f>
        <v>0</v>
      </c>
      <c r="G47" s="37" t="s">
        <v>2025</v>
      </c>
    </row>
    <row r="49" spans="1:7" s="1" customFormat="1" ht="45" customHeight="1" x14ac:dyDescent="0.25">
      <c r="A49" s="108">
        <v>9</v>
      </c>
      <c r="B49" s="108">
        <v>3</v>
      </c>
      <c r="C49" s="51"/>
      <c r="D49" s="112"/>
      <c r="E49" s="152" t="s">
        <v>2080</v>
      </c>
      <c r="F49" s="147" t="s">
        <v>2053</v>
      </c>
      <c r="G49" s="159"/>
    </row>
    <row r="50" spans="1:7" s="1" customFormat="1" x14ac:dyDescent="0.25">
      <c r="A50" s="64"/>
      <c r="B50" s="64"/>
      <c r="C50" s="112"/>
      <c r="D50" s="112"/>
      <c r="E50" s="112"/>
      <c r="F50" s="56"/>
      <c r="G50" s="150"/>
    </row>
  </sheetData>
  <sheetProtection algorithmName="SHA-512" hashValue="ANDE9e4ywiAOP9I0mK5/Ax+hiAKRw10RFfHe9wnLewd2IzC4WpdCNhdpIToxUiG0AXE0GexIhS06KGMWhgup6w==" saltValue="iXh1IdjRpMs4/GPm/VGjGg==" spinCount="100000" sheet="1" formatRows="0" selectLockedCells="1"/>
  <mergeCells count="6">
    <mergeCell ref="D45:E45"/>
    <mergeCell ref="C2:E2"/>
    <mergeCell ref="D4:E4"/>
    <mergeCell ref="D24:E24"/>
    <mergeCell ref="D35:E35"/>
    <mergeCell ref="D18:E18"/>
  </mergeCells>
  <conditionalFormatting sqref="E1:E1048576">
    <cfRule type="containsText" dxfId="2" priority="2" operator="containsText" text="Safeguard Scoring Complete">
      <formula>NOT(ISERROR(SEARCH("Safeguard Scoring Complete",E1)))</formula>
    </cfRule>
    <cfRule type="containsText" dxfId="1" priority="8" operator="containsText" text="Safeguard Scoring Incomplete">
      <formula>NOT(ISERROR(SEARCH("Safeguard Scoring Incomplete",E1)))</formula>
    </cfRule>
  </conditionalFormatting>
  <dataValidations count="3">
    <dataValidation type="list" allowBlank="1" showInputMessage="1" showErrorMessage="1" sqref="F2" xr:uid="{9E20C220-6687-40A2-A9F6-A99DA9B49AA2}">
      <formula1>"Assessed,Not Assessed"</formula1>
    </dataValidation>
    <dataValidation type="list" allowBlank="1" showInputMessage="1" showErrorMessage="1" sqref="F36 F7:F11" xr:uid="{73CB4BE5-3FA3-4D69-A864-5DDE14F0D1D9}">
      <formula1>"0,1"</formula1>
    </dataValidation>
    <dataValidation type="list" allowBlank="1" showInputMessage="1" showErrorMessage="1" sqref="E16 E22 E33 E43 E49" xr:uid="{B28022E3-0CDC-47B9-8DE1-41746E64C6FB}">
      <formula1>"Safeguard Scoring Complete,Safeguard Scoring Incomplete"</formula1>
    </dataValidation>
  </dataValidations>
  <hyperlinks>
    <hyperlink ref="G2" r:id="rId1" xr:uid="{B071CD3F-1A29-46C7-83CB-EFDB5B27D71B}"/>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3C38A0A4-9C40-47E5-A8D6-76676FDD1EEC}">
            <xm:f>AND($A1&lt;&gt;GlobalSettings!$C$2,$B1&gt;GlobalSettings!$C$2)</xm:f>
            <x14:dxf>
              <font>
                <color theme="0" tint="-0.24994659260841701"/>
              </font>
              <fill>
                <patternFill>
                  <bgColor theme="0" tint="-0.499984740745262"/>
                </patternFill>
              </fill>
            </x14:dxf>
          </x14:cfRule>
          <xm:sqref>C1:G1048576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61B0B-DE06-49C5-A232-A7E0425F78FC}">
  <dimension ref="A1:K154"/>
  <sheetViews>
    <sheetView zoomScaleNormal="100" zoomScaleSheetLayoutView="115" workbookViewId="0">
      <selection activeCell="C2" sqref="C2:D151"/>
    </sheetView>
  </sheetViews>
  <sheetFormatPr defaultColWidth="9.140625" defaultRowHeight="15" x14ac:dyDescent="0.25"/>
  <cols>
    <col min="1" max="2" width="9.140625" style="190"/>
    <col min="3" max="3" width="9.7109375" style="199" customWidth="1"/>
    <col min="4" max="4" width="32.28515625" style="189" customWidth="1"/>
    <col min="5" max="5" width="64.5703125" style="200" customWidth="1"/>
    <col min="6" max="6" width="10.7109375" style="190" customWidth="1"/>
    <col min="7" max="7" width="9.7109375" style="190" customWidth="1"/>
    <col min="8" max="8" width="9.140625" style="189"/>
    <col min="9" max="11" width="15.7109375" style="190" customWidth="1"/>
    <col min="12" max="16384" width="9.140625" style="189"/>
  </cols>
  <sheetData>
    <row r="1" spans="1:11" ht="30.75" thickBot="1" x14ac:dyDescent="0.3">
      <c r="A1" s="184" t="s">
        <v>2054</v>
      </c>
      <c r="B1" s="184" t="s">
        <v>2055</v>
      </c>
      <c r="C1" s="185" t="s">
        <v>126</v>
      </c>
      <c r="D1" s="186" t="s">
        <v>548</v>
      </c>
      <c r="E1" s="187" t="s">
        <v>321</v>
      </c>
      <c r="F1" s="188" t="s">
        <v>132</v>
      </c>
      <c r="G1" s="188" t="s">
        <v>130</v>
      </c>
      <c r="I1" s="188" t="s">
        <v>2122</v>
      </c>
      <c r="J1" s="188" t="s">
        <v>2123</v>
      </c>
      <c r="K1" s="188" t="s">
        <v>2124</v>
      </c>
    </row>
    <row r="2" spans="1:11" ht="30" x14ac:dyDescent="0.25">
      <c r="A2" s="190">
        <v>0</v>
      </c>
      <c r="B2" s="190">
        <v>1</v>
      </c>
      <c r="C2" s="191">
        <v>1.01</v>
      </c>
      <c r="D2" s="192" t="s">
        <v>141</v>
      </c>
      <c r="E2" s="193">
        <f>'Control 01'!G18</f>
        <v>0</v>
      </c>
      <c r="F2" s="194">
        <f>VLOOKUP(C2,ScoringTables!$B$3:$I$155,8,FALSE)</f>
        <v>0</v>
      </c>
      <c r="G2" s="194" t="str">
        <f>VLOOKUP(C2,ScoringTables!$B$3:$I$155,6,FALSE)</f>
        <v>Critical</v>
      </c>
      <c r="I2" s="201" t="str">
        <f>IFERROR(IF(F2&lt;GlobalSettings!$C$6,IF(VLOOKUP(C2,POAM!$D$4:$M$156,9,FALSE)&lt;&gt;"","Yes","No"),""),"")</f>
        <v>No</v>
      </c>
      <c r="J2" s="202"/>
      <c r="K2" s="201" t="str" cm="1">
        <f t="array" ref="K2">_xlfn.IFS((F2&gt;=GlobalSettings!$C$6),"No Remediation Needed",(F2&lt;GlobalSettings!$C$6)*(OR((I2=("No")),(J2=("")))),"Not Started",(F2&lt;GlobalSettings!$C$6)*(I2="Yes")*(OR((J2=""),(J2="Not Started"))),"Planned",(F2&lt;GlobalSettings!$C$6)*(I2="Yes")*(J2="In Process"),"In Progress")</f>
        <v>Not Started</v>
      </c>
    </row>
    <row r="3" spans="1:11" x14ac:dyDescent="0.25">
      <c r="A3" s="190">
        <v>0</v>
      </c>
      <c r="B3" s="190">
        <v>1</v>
      </c>
      <c r="C3" s="195">
        <v>1.02</v>
      </c>
      <c r="D3" s="196" t="s">
        <v>143</v>
      </c>
      <c r="E3" s="197">
        <f>'Control 01'!G28</f>
        <v>0</v>
      </c>
      <c r="F3" s="198">
        <f>VLOOKUP(C3,ScoringTables!$B$3:$I$155,8,FALSE)</f>
        <v>0</v>
      </c>
      <c r="G3" s="198" t="str">
        <f>VLOOKUP(C3,ScoringTables!$B$3:$I$155,6,FALSE)</f>
        <v>Medium</v>
      </c>
      <c r="I3" s="203" t="str">
        <f>IFERROR(IF(F3&lt;GlobalSettings!$C$6,IF(VLOOKUP(C3,POAM!$D$4:$M$156,9,FALSE)&lt;&gt;"","Yes","No"),""),"")</f>
        <v>No</v>
      </c>
      <c r="J3" s="204"/>
      <c r="K3" s="203" t="str" cm="1">
        <f t="array" ref="K3">_xlfn.IFS((F3&gt;=GlobalSettings!$C$6),"No Remediation Needed",(F3&lt;GlobalSettings!$C$6)*(OR((I3=("No")),(J3=("")))),"Not Started",(F3&lt;GlobalSettings!$C$6)*(I3="Yes")*(OR((J3=""),(J3="Not Started"))),"Planned",(F3&lt;GlobalSettings!$C$6)*(I3="Yes")*(J3="In Process"),"In Progress")</f>
        <v>Not Started</v>
      </c>
    </row>
    <row r="4" spans="1:11" x14ac:dyDescent="0.25">
      <c r="A4" s="190">
        <v>9</v>
      </c>
      <c r="B4" s="190">
        <v>2</v>
      </c>
      <c r="C4" s="195">
        <v>1.03</v>
      </c>
      <c r="D4" s="196" t="s">
        <v>145</v>
      </c>
      <c r="E4" s="197">
        <f>'Control 01'!G42</f>
        <v>0</v>
      </c>
      <c r="F4" s="198">
        <f>VLOOKUP(C4,ScoringTables!$B$3:$I$155,8,FALSE)</f>
        <v>0</v>
      </c>
      <c r="G4" s="198" t="str">
        <f>VLOOKUP(C4,ScoringTables!$B$3:$I$155,6,FALSE)</f>
        <v>Medium</v>
      </c>
      <c r="I4" s="203" t="str">
        <f>IFERROR(IF(F4&lt;GlobalSettings!$C$6,IF(VLOOKUP(C4,POAM!$D$4:$M$156,9,FALSE)&lt;&gt;"","Yes","No"),""),"")</f>
        <v>No</v>
      </c>
      <c r="J4" s="204"/>
      <c r="K4" s="203" t="str" cm="1">
        <f t="array" ref="K4">_xlfn.IFS((F4&gt;=GlobalSettings!$C$6),"No Remediation Needed",(F4&lt;GlobalSettings!$C$6)*(OR((I4=("No")),(J4=("")))),"Not Started",(F4&lt;GlobalSettings!$C$6)*(I4="Yes")*(OR((J4=""),(J4="Not Started"))),"Planned",(F4&lt;GlobalSettings!$C$6)*(I4="Yes")*(J4="In Process"),"In Progress")</f>
        <v>Not Started</v>
      </c>
    </row>
    <row r="5" spans="1:11" ht="45" x14ac:dyDescent="0.25">
      <c r="A5" s="190">
        <v>9</v>
      </c>
      <c r="B5" s="190">
        <v>2</v>
      </c>
      <c r="C5" s="195">
        <v>1.04</v>
      </c>
      <c r="D5" s="196" t="s">
        <v>147</v>
      </c>
      <c r="E5" s="197">
        <f>'Control 01'!G57</f>
        <v>0</v>
      </c>
      <c r="F5" s="198">
        <f>VLOOKUP(C5,ScoringTables!$B$3:$I$155,8,FALSE)</f>
        <v>0</v>
      </c>
      <c r="G5" s="198" t="str">
        <f>VLOOKUP(C5,ScoringTables!$B$3:$I$155,6,FALSE)</f>
        <v>Medium</v>
      </c>
      <c r="I5" s="203" t="str">
        <f>IFERROR(IF(F5&lt;GlobalSettings!$C$6,IF(VLOOKUP(C5,POAM!$D$4:$M$156,9,FALSE)&lt;&gt;"","Yes","No"),""),"")</f>
        <v>No</v>
      </c>
      <c r="J5" s="204"/>
      <c r="K5" s="203" t="str" cm="1">
        <f t="array" ref="K5">_xlfn.IFS((F5&gt;=GlobalSettings!$C$6),"No Remediation Needed",(F5&lt;GlobalSettings!$C$6)*(OR((I5=("No")),(J5=("")))),"Not Started",(F5&lt;GlobalSettings!$C$6)*(I5="Yes")*(OR((J5=""),(J5="Not Started"))),"Planned",(F5&lt;GlobalSettings!$C$6)*(I5="Yes")*(J5="In Process"),"In Progress")</f>
        <v>Not Started</v>
      </c>
    </row>
    <row r="6" spans="1:11" x14ac:dyDescent="0.25">
      <c r="A6" s="190">
        <v>9</v>
      </c>
      <c r="B6" s="190">
        <v>3</v>
      </c>
      <c r="C6" s="195">
        <v>1.05</v>
      </c>
      <c r="D6" s="196" t="s">
        <v>149</v>
      </c>
      <c r="E6" s="197">
        <f>'Control 01'!G68</f>
        <v>0</v>
      </c>
      <c r="F6" s="198">
        <f>VLOOKUP(C6,ScoringTables!$B$3:$I$155,8,FALSE)</f>
        <v>0</v>
      </c>
      <c r="G6" s="198" t="str">
        <f>VLOOKUP(C6,ScoringTables!$B$3:$I$155,6,FALSE)</f>
        <v>Medium</v>
      </c>
      <c r="I6" s="203" t="str">
        <f>IFERROR(IF(F6&lt;GlobalSettings!$C$6,IF(VLOOKUP(C6,POAM!$D$4:$M$156,9,FALSE)&lt;&gt;"","Yes","No"),""),"")</f>
        <v>No</v>
      </c>
      <c r="J6" s="204"/>
      <c r="K6" s="203" t="str" cm="1">
        <f t="array" ref="K6">_xlfn.IFS((F6&gt;=GlobalSettings!$C$6),"No Remediation Needed",(F6&lt;GlobalSettings!$C$6)*(OR((I6=("No")),(J6=("")))),"Not Started",(F6&lt;GlobalSettings!$C$6)*(I6="Yes")*(OR((J6=""),(J6="Not Started"))),"Planned",(F6&lt;GlobalSettings!$C$6)*(I6="Yes")*(J6="In Process"),"In Progress")</f>
        <v>Not Started</v>
      </c>
    </row>
    <row r="7" spans="1:11" ht="30" x14ac:dyDescent="0.25">
      <c r="A7" s="190">
        <v>0</v>
      </c>
      <c r="B7" s="190">
        <v>1</v>
      </c>
      <c r="C7" s="195">
        <v>2.0099999999999998</v>
      </c>
      <c r="D7" s="196" t="s">
        <v>151</v>
      </c>
      <c r="E7" s="197">
        <f>'Control 02'!G19</f>
        <v>0</v>
      </c>
      <c r="F7" s="198">
        <f>VLOOKUP(C7,ScoringTables!$B$3:$I$155,8,FALSE)</f>
        <v>0</v>
      </c>
      <c r="G7" s="198" t="str">
        <f>VLOOKUP(C7,ScoringTables!$B$3:$I$155,6,FALSE)</f>
        <v>Critical</v>
      </c>
      <c r="I7" s="203" t="str">
        <f>IFERROR(IF(F7&lt;GlobalSettings!$C$6,IF(VLOOKUP(C7,POAM!$D$4:$M$156,9,FALSE)&lt;&gt;"","Yes","No"),""),"")</f>
        <v>No</v>
      </c>
      <c r="J7" s="204"/>
      <c r="K7" s="203" t="str" cm="1">
        <f t="array" ref="K7">_xlfn.IFS((F7&gt;=GlobalSettings!$C$6),"No Remediation Needed",(F7&lt;GlobalSettings!$C$6)*(OR((I7=("No")),(J7=("")))),"Not Started",(F7&lt;GlobalSettings!$C$6)*(I7="Yes")*(OR((J7=""),(J7="Not Started"))),"Planned",(F7&lt;GlobalSettings!$C$6)*(I7="Yes")*(J7="In Process"),"In Progress")</f>
        <v>Not Started</v>
      </c>
    </row>
    <row r="8" spans="1:11" ht="30" x14ac:dyDescent="0.25">
      <c r="A8" s="190">
        <v>0</v>
      </c>
      <c r="B8" s="190">
        <v>1</v>
      </c>
      <c r="C8" s="195">
        <v>2.02</v>
      </c>
      <c r="D8" s="196" t="s">
        <v>153</v>
      </c>
      <c r="E8" s="197">
        <f>'Control 02'!G36</f>
        <v>0</v>
      </c>
      <c r="F8" s="198">
        <f>VLOOKUP(C8,ScoringTables!$B$3:$I$155,8,FALSE)</f>
        <v>0</v>
      </c>
      <c r="G8" s="198" t="str">
        <f>VLOOKUP(C8,ScoringTables!$B$3:$I$155,6,FALSE)</f>
        <v>Medium</v>
      </c>
      <c r="I8" s="203" t="str">
        <f>IFERROR(IF(F8&lt;GlobalSettings!$C$6,IF(VLOOKUP(C8,POAM!$D$4:$M$156,9,FALSE)&lt;&gt;"","Yes","No"),""),"")</f>
        <v>No</v>
      </c>
      <c r="J8" s="204"/>
      <c r="K8" s="203" t="str" cm="1">
        <f t="array" ref="K8">_xlfn.IFS((F8&gt;=GlobalSettings!$C$6),"No Remediation Needed",(F8&lt;GlobalSettings!$C$6)*(OR((I8=("No")),(J8=("")))),"Not Started",(F8&lt;GlobalSettings!$C$6)*(I8="Yes")*(OR((J8=""),(J8="Not Started"))),"Planned",(F8&lt;GlobalSettings!$C$6)*(I8="Yes")*(J8="In Process"),"In Progress")</f>
        <v>Not Started</v>
      </c>
    </row>
    <row r="9" spans="1:11" x14ac:dyDescent="0.25">
      <c r="A9" s="190">
        <v>0</v>
      </c>
      <c r="B9" s="190">
        <v>1</v>
      </c>
      <c r="C9" s="195">
        <v>2.0299999999999998</v>
      </c>
      <c r="D9" s="196" t="s">
        <v>155</v>
      </c>
      <c r="E9" s="197">
        <f>'Control 02'!G47</f>
        <v>0</v>
      </c>
      <c r="F9" s="198">
        <f>VLOOKUP(C9,ScoringTables!$B$3:$I$155,8,FALSE)</f>
        <v>0</v>
      </c>
      <c r="G9" s="198" t="str">
        <f>VLOOKUP(C9,ScoringTables!$B$3:$I$155,6,FALSE)</f>
        <v>High</v>
      </c>
      <c r="I9" s="203" t="str">
        <f>IFERROR(IF(F9&lt;GlobalSettings!$C$6,IF(VLOOKUP(C9,POAM!$D$4:$M$156,9,FALSE)&lt;&gt;"","Yes","No"),""),"")</f>
        <v>No</v>
      </c>
      <c r="J9" s="204"/>
      <c r="K9" s="203" t="str" cm="1">
        <f t="array" ref="K9">_xlfn.IFS((F9&gt;=GlobalSettings!$C$6),"No Remediation Needed",(F9&lt;GlobalSettings!$C$6)*(OR((I9=("No")),(J9=("")))),"Not Started",(F9&lt;GlobalSettings!$C$6)*(I9="Yes")*(OR((J9=""),(J9="Not Started"))),"Planned",(F9&lt;GlobalSettings!$C$6)*(I9="Yes")*(J9="In Process"),"In Progress")</f>
        <v>Not Started</v>
      </c>
    </row>
    <row r="10" spans="1:11" ht="30" x14ac:dyDescent="0.25">
      <c r="A10" s="190">
        <v>0</v>
      </c>
      <c r="B10" s="190">
        <v>2</v>
      </c>
      <c r="C10" s="195">
        <v>2.04</v>
      </c>
      <c r="D10" s="196" t="s">
        <v>157</v>
      </c>
      <c r="E10" s="197">
        <f>'Control 02'!G57</f>
        <v>0</v>
      </c>
      <c r="F10" s="198">
        <f>VLOOKUP(C10,ScoringTables!$B$3:$I$155,8,FALSE)</f>
        <v>0</v>
      </c>
      <c r="G10" s="198" t="str">
        <f>VLOOKUP(C10,ScoringTables!$B$3:$I$155,6,FALSE)</f>
        <v>Medium</v>
      </c>
      <c r="I10" s="203" t="str">
        <f>IFERROR(IF(F10&lt;GlobalSettings!$C$6,IF(VLOOKUP(C10,POAM!$D$4:$M$156,9,FALSE)&lt;&gt;"","Yes","No"),""),"")</f>
        <v>No</v>
      </c>
      <c r="J10" s="204"/>
      <c r="K10" s="203" t="str" cm="1">
        <f t="array" ref="K10">_xlfn.IFS((F10&gt;=GlobalSettings!$C$6),"No Remediation Needed",(F10&lt;GlobalSettings!$C$6)*(OR((I10=("No")),(J10=("")))),"Not Started",(F10&lt;GlobalSettings!$C$6)*(I10="Yes")*(OR((J10=""),(J10="Not Started"))),"Planned",(F10&lt;GlobalSettings!$C$6)*(I10="Yes")*(J10="In Process"),"In Progress")</f>
        <v>Not Started</v>
      </c>
    </row>
    <row r="11" spans="1:11" x14ac:dyDescent="0.25">
      <c r="A11" s="190">
        <v>9</v>
      </c>
      <c r="B11" s="190">
        <v>2</v>
      </c>
      <c r="C11" s="195">
        <v>2.0499999999999998</v>
      </c>
      <c r="D11" s="196" t="s">
        <v>159</v>
      </c>
      <c r="E11" s="197">
        <f>'Control 02'!G70</f>
        <v>0</v>
      </c>
      <c r="F11" s="198">
        <f>VLOOKUP(C11,ScoringTables!$B$3:$I$155,8,FALSE)</f>
        <v>0</v>
      </c>
      <c r="G11" s="198" t="str">
        <f>VLOOKUP(C11,ScoringTables!$B$3:$I$155,6,FALSE)</f>
        <v>High</v>
      </c>
      <c r="I11" s="203" t="str">
        <f>IFERROR(IF(F11&lt;GlobalSettings!$C$6,IF(VLOOKUP(C11,POAM!$D$4:$M$156,9,FALSE)&lt;&gt;"","Yes","No"),""),"")</f>
        <v>No</v>
      </c>
      <c r="J11" s="204"/>
      <c r="K11" s="203" t="str" cm="1">
        <f t="array" ref="K11">_xlfn.IFS((F11&gt;=GlobalSettings!$C$6),"No Remediation Needed",(F11&lt;GlobalSettings!$C$6)*(OR((I11=("No")),(J11=("")))),"Not Started",(F11&lt;GlobalSettings!$C$6)*(I11="Yes")*(OR((J11=""),(J11="Not Started"))),"Planned",(F11&lt;GlobalSettings!$C$6)*(I11="Yes")*(J11="In Process"),"In Progress")</f>
        <v>Not Started</v>
      </c>
    </row>
    <row r="12" spans="1:11" x14ac:dyDescent="0.25">
      <c r="A12" s="190">
        <v>9</v>
      </c>
      <c r="B12" s="190">
        <v>2</v>
      </c>
      <c r="C12" s="195">
        <v>2.06</v>
      </c>
      <c r="D12" s="196" t="s">
        <v>161</v>
      </c>
      <c r="E12" s="197">
        <f>'Control 02'!G81</f>
        <v>0</v>
      </c>
      <c r="F12" s="198">
        <f>VLOOKUP(C12,ScoringTables!$B$3:$I$155,8,FALSE)</f>
        <v>0</v>
      </c>
      <c r="G12" s="198" t="str">
        <f>VLOOKUP(C12,ScoringTables!$B$3:$I$155,6,FALSE)</f>
        <v>High</v>
      </c>
      <c r="I12" s="203" t="str">
        <f>IFERROR(IF(F12&lt;GlobalSettings!$C$6,IF(VLOOKUP(C12,POAM!$D$4:$M$156,9,FALSE)&lt;&gt;"","Yes","No"),""),"")</f>
        <v>No</v>
      </c>
      <c r="J12" s="204"/>
      <c r="K12" s="203" t="str" cm="1">
        <f t="array" ref="K12">_xlfn.IFS((F12&gt;=GlobalSettings!$C$6),"No Remediation Needed",(F12&lt;GlobalSettings!$C$6)*(OR((I12=("No")),(J12=("")))),"Not Started",(F12&lt;GlobalSettings!$C$6)*(I12="Yes")*(OR((J12=""),(J12="Not Started"))),"Planned",(F12&lt;GlobalSettings!$C$6)*(I12="Yes")*(J12="In Process"),"In Progress")</f>
        <v>Not Started</v>
      </c>
    </row>
    <row r="13" spans="1:11" x14ac:dyDescent="0.25">
      <c r="A13" s="190">
        <v>9</v>
      </c>
      <c r="B13" s="190">
        <v>3</v>
      </c>
      <c r="C13" s="195">
        <v>2.0699999999999998</v>
      </c>
      <c r="D13" s="196" t="s">
        <v>163</v>
      </c>
      <c r="E13" s="197">
        <f>'Control 02'!G92</f>
        <v>0</v>
      </c>
      <c r="F13" s="198">
        <f>VLOOKUP(C13,ScoringTables!$B$3:$I$155,8,FALSE)</f>
        <v>0</v>
      </c>
      <c r="G13" s="198" t="str">
        <f>VLOOKUP(C13,ScoringTables!$B$3:$I$155,6,FALSE)</f>
        <v>High</v>
      </c>
      <c r="I13" s="203" t="str">
        <f>IFERROR(IF(F13&lt;GlobalSettings!$C$6,IF(VLOOKUP(C13,POAM!$D$4:$M$156,9,FALSE)&lt;&gt;"","Yes","No"),""),"")</f>
        <v>No</v>
      </c>
      <c r="J13" s="204"/>
      <c r="K13" s="203" t="str" cm="1">
        <f t="array" ref="K13">_xlfn.IFS((F13&gt;=GlobalSettings!$C$6),"No Remediation Needed",(F13&lt;GlobalSettings!$C$6)*(OR((I13=("No")),(J13=("")))),"Not Started",(F13&lt;GlobalSettings!$C$6)*(I13="Yes")*(OR((J13=""),(J13="Not Started"))),"Planned",(F13&lt;GlobalSettings!$C$6)*(I13="Yes")*(J13="In Process"),"In Progress")</f>
        <v>Not Started</v>
      </c>
    </row>
    <row r="14" spans="1:11" ht="30" x14ac:dyDescent="0.25">
      <c r="A14" s="190">
        <v>0</v>
      </c>
      <c r="B14" s="190">
        <v>1</v>
      </c>
      <c r="C14" s="195">
        <v>3.01</v>
      </c>
      <c r="D14" s="196" t="s">
        <v>165</v>
      </c>
      <c r="E14" s="197">
        <f>'Control 03'!G14</f>
        <v>0</v>
      </c>
      <c r="F14" s="198">
        <f>VLOOKUP(C14,ScoringTables!$B$3:$I$155,8,FALSE)</f>
        <v>0</v>
      </c>
      <c r="G14" s="198" t="str">
        <f>VLOOKUP(C14,ScoringTables!$B$3:$I$155,6,FALSE)</f>
        <v>High</v>
      </c>
      <c r="I14" s="203" t="str">
        <f>IFERROR(IF(F14&lt;GlobalSettings!$C$6,IF(VLOOKUP(C14,POAM!$D$4:$M$156,9,FALSE)&lt;&gt;"","Yes","No"),""),"")</f>
        <v>No</v>
      </c>
      <c r="J14" s="204"/>
      <c r="K14" s="203" t="str" cm="1">
        <f t="array" ref="K14">_xlfn.IFS((F14&gt;=GlobalSettings!$C$6),"No Remediation Needed",(F14&lt;GlobalSettings!$C$6)*(OR((I14=("No")),(J14=("")))),"Not Started",(F14&lt;GlobalSettings!$C$6)*(I14="Yes")*(OR((J14=""),(J14="Not Started"))),"Planned",(F14&lt;GlobalSettings!$C$6)*(I14="Yes")*(J14="In Process"),"In Progress")</f>
        <v>Not Started</v>
      </c>
    </row>
    <row r="15" spans="1:11" ht="30" x14ac:dyDescent="0.25">
      <c r="A15" s="190">
        <v>0</v>
      </c>
      <c r="B15" s="190">
        <v>1</v>
      </c>
      <c r="C15" s="195">
        <v>3.02</v>
      </c>
      <c r="D15" s="196" t="s">
        <v>167</v>
      </c>
      <c r="E15" s="197">
        <f>'Control 03'!G30</f>
        <v>0</v>
      </c>
      <c r="F15" s="198">
        <f>VLOOKUP(C15,ScoringTables!$B$3:$I$155,8,FALSE)</f>
        <v>0</v>
      </c>
      <c r="G15" s="198" t="str">
        <f>VLOOKUP(C15,ScoringTables!$B$3:$I$155,6,FALSE)</f>
        <v>High</v>
      </c>
      <c r="I15" s="203" t="str">
        <f>IFERROR(IF(F15&lt;GlobalSettings!$C$6,IF(VLOOKUP(C15,POAM!$D$4:$M$156,9,FALSE)&lt;&gt;"","Yes","No"),""),"")</f>
        <v>No</v>
      </c>
      <c r="J15" s="204"/>
      <c r="K15" s="203" t="str" cm="1">
        <f t="array" ref="K15">_xlfn.IFS((F15&gt;=GlobalSettings!$C$6),"No Remediation Needed",(F15&lt;GlobalSettings!$C$6)*(OR((I15=("No")),(J15=("")))),"Not Started",(F15&lt;GlobalSettings!$C$6)*(I15="Yes")*(OR((J15=""),(J15="Not Started"))),"Planned",(F15&lt;GlobalSettings!$C$6)*(I15="Yes")*(J15="In Process"),"In Progress")</f>
        <v>Not Started</v>
      </c>
    </row>
    <row r="16" spans="1:11" ht="30" x14ac:dyDescent="0.25">
      <c r="A16" s="190">
        <v>9</v>
      </c>
      <c r="B16" s="190">
        <v>1</v>
      </c>
      <c r="C16" s="195">
        <v>3.03</v>
      </c>
      <c r="D16" s="196" t="s">
        <v>169</v>
      </c>
      <c r="E16" s="197">
        <f>'Control 03'!G45</f>
        <v>0</v>
      </c>
      <c r="F16" s="198">
        <f>VLOOKUP(C16,ScoringTables!$B$3:$I$155,8,FALSE)</f>
        <v>0</v>
      </c>
      <c r="G16" s="198" t="str">
        <f>VLOOKUP(C16,ScoringTables!$B$3:$I$155,6,FALSE)</f>
        <v>High</v>
      </c>
      <c r="I16" s="203" t="str">
        <f>IFERROR(IF(F16&lt;GlobalSettings!$C$6,IF(VLOOKUP(C16,POAM!$D$4:$M$156,9,FALSE)&lt;&gt;"","Yes","No"),""),"")</f>
        <v>No</v>
      </c>
      <c r="J16" s="204"/>
      <c r="K16" s="203" t="str" cm="1">
        <f t="array" ref="K16">_xlfn.IFS((F16&gt;=GlobalSettings!$C$6),"No Remediation Needed",(F16&lt;GlobalSettings!$C$6)*(OR((I16=("No")),(J16=("")))),"Not Started",(F16&lt;GlobalSettings!$C$6)*(I16="Yes")*(OR((J16=""),(J16="Not Started"))),"Planned",(F16&lt;GlobalSettings!$C$6)*(I16="Yes")*(J16="In Process"),"In Progress")</f>
        <v>Not Started</v>
      </c>
    </row>
    <row r="17" spans="1:11" x14ac:dyDescent="0.25">
      <c r="A17" s="190">
        <v>0</v>
      </c>
      <c r="B17" s="190">
        <v>1</v>
      </c>
      <c r="C17" s="195">
        <v>3.04</v>
      </c>
      <c r="D17" s="196" t="s">
        <v>171</v>
      </c>
      <c r="E17" s="197">
        <f>'Control 03'!G60</f>
        <v>0</v>
      </c>
      <c r="F17" s="198">
        <f>VLOOKUP(C17,ScoringTables!$B$3:$I$155,8,FALSE)</f>
        <v>0</v>
      </c>
      <c r="G17" s="198" t="str">
        <f>VLOOKUP(C17,ScoringTables!$B$3:$I$155,6,FALSE)</f>
        <v>High</v>
      </c>
      <c r="I17" s="203" t="str">
        <f>IFERROR(IF(F17&lt;GlobalSettings!$C$6,IF(VLOOKUP(C17,POAM!$D$4:$M$156,9,FALSE)&lt;&gt;"","Yes","No"),""),"")</f>
        <v>No</v>
      </c>
      <c r="J17" s="204"/>
      <c r="K17" s="203" t="str" cm="1">
        <f t="array" ref="K17">_xlfn.IFS((F17&gt;=GlobalSettings!$C$6),"No Remediation Needed",(F17&lt;GlobalSettings!$C$6)*(OR((I17=("No")),(J17=("")))),"Not Started",(F17&lt;GlobalSettings!$C$6)*(I17="Yes")*(OR((J17=""),(J17="Not Started"))),"Planned",(F17&lt;GlobalSettings!$C$6)*(I17="Yes")*(J17="In Process"),"In Progress")</f>
        <v>Not Started</v>
      </c>
    </row>
    <row r="18" spans="1:11" x14ac:dyDescent="0.25">
      <c r="A18" s="190">
        <v>0</v>
      </c>
      <c r="B18" s="190">
        <v>1</v>
      </c>
      <c r="C18" s="195">
        <v>3.05</v>
      </c>
      <c r="D18" s="196" t="s">
        <v>173</v>
      </c>
      <c r="E18" s="197">
        <f>'Control 03'!G74</f>
        <v>0</v>
      </c>
      <c r="F18" s="198">
        <f>VLOOKUP(C18,ScoringTables!$B$3:$I$155,8,FALSE)</f>
        <v>0</v>
      </c>
      <c r="G18" s="198" t="str">
        <f>VLOOKUP(C18,ScoringTables!$B$3:$I$155,6,FALSE)</f>
        <v>Medium</v>
      </c>
      <c r="I18" s="203" t="str">
        <f>IFERROR(IF(F18&lt;GlobalSettings!$C$6,IF(VLOOKUP(C18,POAM!$D$4:$M$156,9,FALSE)&lt;&gt;"","Yes","No"),""),"")</f>
        <v>No</v>
      </c>
      <c r="J18" s="204"/>
      <c r="K18" s="203" t="str" cm="1">
        <f t="array" ref="K18">_xlfn.IFS((F18&gt;=GlobalSettings!$C$6),"No Remediation Needed",(F18&lt;GlobalSettings!$C$6)*(OR((I18=("No")),(J18=("")))),"Not Started",(F18&lt;GlobalSettings!$C$6)*(I18="Yes")*(OR((J18=""),(J18="Not Started"))),"Planned",(F18&lt;GlobalSettings!$C$6)*(I18="Yes")*(J18="In Process"),"In Progress")</f>
        <v>Not Started</v>
      </c>
    </row>
    <row r="19" spans="1:11" x14ac:dyDescent="0.25">
      <c r="A19" s="190">
        <v>0</v>
      </c>
      <c r="B19" s="190">
        <v>1</v>
      </c>
      <c r="C19" s="195">
        <v>3.06</v>
      </c>
      <c r="D19" s="196" t="s">
        <v>175</v>
      </c>
      <c r="E19" s="197">
        <f>'Control 03'!G86</f>
        <v>0</v>
      </c>
      <c r="F19" s="198">
        <f>VLOOKUP(C19,ScoringTables!$B$3:$I$155,8,FALSE)</f>
        <v>0</v>
      </c>
      <c r="G19" s="198" t="str">
        <f>VLOOKUP(C19,ScoringTables!$B$3:$I$155,6,FALSE)</f>
        <v>Medium</v>
      </c>
      <c r="I19" s="203" t="str">
        <f>IFERROR(IF(F19&lt;GlobalSettings!$C$6,IF(VLOOKUP(C19,POAM!$D$4:$M$156,9,FALSE)&lt;&gt;"","Yes","No"),""),"")</f>
        <v>No</v>
      </c>
      <c r="J19" s="204"/>
      <c r="K19" s="203" t="str" cm="1">
        <f t="array" ref="K19">_xlfn.IFS((F19&gt;=GlobalSettings!$C$6),"No Remediation Needed",(F19&lt;GlobalSettings!$C$6)*(OR((I19=("No")),(J19=("")))),"Not Started",(F19&lt;GlobalSettings!$C$6)*(I19="Yes")*(OR((J19=""),(J19="Not Started"))),"Planned",(F19&lt;GlobalSettings!$C$6)*(I19="Yes")*(J19="In Process"),"In Progress")</f>
        <v>Not Started</v>
      </c>
    </row>
    <row r="20" spans="1:11" ht="30" x14ac:dyDescent="0.25">
      <c r="A20" s="190">
        <v>0</v>
      </c>
      <c r="B20" s="190">
        <v>2</v>
      </c>
      <c r="C20" s="195">
        <v>3.07</v>
      </c>
      <c r="D20" s="196" t="s">
        <v>177</v>
      </c>
      <c r="E20" s="197">
        <f>'Control 03'!G101</f>
        <v>0</v>
      </c>
      <c r="F20" s="198">
        <f>VLOOKUP(C20,ScoringTables!$B$3:$I$155,8,FALSE)</f>
        <v>0</v>
      </c>
      <c r="G20" s="198" t="str">
        <f>VLOOKUP(C20,ScoringTables!$B$3:$I$155,6,FALSE)</f>
        <v>Medium</v>
      </c>
      <c r="I20" s="203" t="str">
        <f>IFERROR(IF(F20&lt;GlobalSettings!$C$6,IF(VLOOKUP(C20,POAM!$D$4:$M$156,9,FALSE)&lt;&gt;"","Yes","No"),""),"")</f>
        <v>No</v>
      </c>
      <c r="J20" s="204"/>
      <c r="K20" s="203" t="str" cm="1">
        <f t="array" ref="K20">_xlfn.IFS((F20&gt;=GlobalSettings!$C$6),"No Remediation Needed",(F20&lt;GlobalSettings!$C$6)*(OR((I20=("No")),(J20=("")))),"Not Started",(F20&lt;GlobalSettings!$C$6)*(I20="Yes")*(OR((J20=""),(J20="Not Started"))),"Planned",(F20&lt;GlobalSettings!$C$6)*(I20="Yes")*(J20="In Process"),"In Progress")</f>
        <v>Not Started</v>
      </c>
    </row>
    <row r="21" spans="1:11" x14ac:dyDescent="0.25">
      <c r="A21" s="190">
        <v>9</v>
      </c>
      <c r="B21" s="190">
        <v>2</v>
      </c>
      <c r="C21" s="195">
        <v>3.08</v>
      </c>
      <c r="D21" s="196" t="s">
        <v>178</v>
      </c>
      <c r="E21" s="197">
        <f>'Control 03'!G112</f>
        <v>0</v>
      </c>
      <c r="F21" s="198">
        <f>VLOOKUP(C21,ScoringTables!$B$3:$I$155,8,FALSE)</f>
        <v>0</v>
      </c>
      <c r="G21" s="198" t="str">
        <f>VLOOKUP(C21,ScoringTables!$B$3:$I$155,6,FALSE)</f>
        <v>Medium</v>
      </c>
      <c r="I21" s="203" t="str">
        <f>IFERROR(IF(F21&lt;GlobalSettings!$C$6,IF(VLOOKUP(C21,POAM!$D$4:$M$156,9,FALSE)&lt;&gt;"","Yes","No"),""),"")</f>
        <v>No</v>
      </c>
      <c r="J21" s="204"/>
      <c r="K21" s="203" t="str" cm="1">
        <f t="array" ref="K21">_xlfn.IFS((F21&gt;=GlobalSettings!$C$6),"No Remediation Needed",(F21&lt;GlobalSettings!$C$6)*(OR((I21=("No")),(J21=("")))),"Not Started",(F21&lt;GlobalSettings!$C$6)*(I21="Yes")*(OR((J21=""),(J21="Not Started"))),"Planned",(F21&lt;GlobalSettings!$C$6)*(I21="Yes")*(J21="In Process"),"In Progress")</f>
        <v>Not Started</v>
      </c>
    </row>
    <row r="22" spans="1:11" x14ac:dyDescent="0.25">
      <c r="A22" s="190">
        <v>9</v>
      </c>
      <c r="B22" s="190">
        <v>2</v>
      </c>
      <c r="C22" s="195">
        <v>3.09</v>
      </c>
      <c r="D22" s="196" t="s">
        <v>180</v>
      </c>
      <c r="E22" s="197">
        <f>'Control 03'!G123</f>
        <v>0</v>
      </c>
      <c r="F22" s="198">
        <f>VLOOKUP(C22,ScoringTables!$B$3:$I$155,8,FALSE)</f>
        <v>0</v>
      </c>
      <c r="G22" s="198" t="str">
        <f>VLOOKUP(C22,ScoringTables!$B$3:$I$155,6,FALSE)</f>
        <v>Medium</v>
      </c>
      <c r="I22" s="203" t="str">
        <f>IFERROR(IF(F22&lt;GlobalSettings!$C$6,IF(VLOOKUP(C22,POAM!$D$4:$M$156,9,FALSE)&lt;&gt;"","Yes","No"),""),"")</f>
        <v>No</v>
      </c>
      <c r="J22" s="204"/>
      <c r="K22" s="203" t="str" cm="1">
        <f t="array" ref="K22">_xlfn.IFS((F22&gt;=GlobalSettings!$C$6),"No Remediation Needed",(F22&lt;GlobalSettings!$C$6)*(OR((I22=("No")),(J22=("")))),"Not Started",(F22&lt;GlobalSettings!$C$6)*(I22="Yes")*(OR((J22=""),(J22="Not Started"))),"Planned",(F22&lt;GlobalSettings!$C$6)*(I22="Yes")*(J22="In Process"),"In Progress")</f>
        <v>Not Started</v>
      </c>
    </row>
    <row r="23" spans="1:11" x14ac:dyDescent="0.25">
      <c r="A23" s="190">
        <v>9</v>
      </c>
      <c r="B23" s="190">
        <v>2</v>
      </c>
      <c r="C23" s="195">
        <v>3.1</v>
      </c>
      <c r="D23" s="196" t="s">
        <v>181</v>
      </c>
      <c r="E23" s="197">
        <f>'Control 03'!G132</f>
        <v>0</v>
      </c>
      <c r="F23" s="198">
        <f>VLOOKUP(C23,ScoringTables!$B$3:$I$155,8,FALSE)</f>
        <v>0</v>
      </c>
      <c r="G23" s="198" t="str">
        <f>VLOOKUP(C23,ScoringTables!$B$3:$I$155,6,FALSE)</f>
        <v>High</v>
      </c>
      <c r="I23" s="203" t="str">
        <f>IFERROR(IF(F23&lt;GlobalSettings!$C$6,IF(VLOOKUP(C23,POAM!$D$4:$M$156,9,FALSE)&lt;&gt;"","Yes","No"),""),"")</f>
        <v>No</v>
      </c>
      <c r="J23" s="204"/>
      <c r="K23" s="203" t="str" cm="1">
        <f t="array" ref="K23">_xlfn.IFS((F23&gt;=GlobalSettings!$C$6),"No Remediation Needed",(F23&lt;GlobalSettings!$C$6)*(OR((I23=("No")),(J23=("")))),"Not Started",(F23&lt;GlobalSettings!$C$6)*(I23="Yes")*(OR((J23=""),(J23="Not Started"))),"Planned",(F23&lt;GlobalSettings!$C$6)*(I23="Yes")*(J23="In Process"),"In Progress")</f>
        <v>Not Started</v>
      </c>
    </row>
    <row r="24" spans="1:11" x14ac:dyDescent="0.25">
      <c r="A24" s="190">
        <v>9</v>
      </c>
      <c r="B24" s="190">
        <v>2</v>
      </c>
      <c r="C24" s="195">
        <v>3.11</v>
      </c>
      <c r="D24" s="196" t="s">
        <v>182</v>
      </c>
      <c r="E24" s="197">
        <f>'Control 03'!G142</f>
        <v>0</v>
      </c>
      <c r="F24" s="198">
        <f>VLOOKUP(C24,ScoringTables!$B$3:$I$155,8,FALSE)</f>
        <v>0</v>
      </c>
      <c r="G24" s="198" t="str">
        <f>VLOOKUP(C24,ScoringTables!$B$3:$I$155,6,FALSE)</f>
        <v>High</v>
      </c>
      <c r="I24" s="203" t="str">
        <f>IFERROR(IF(F24&lt;GlobalSettings!$C$6,IF(VLOOKUP(C24,POAM!$D$4:$M$156,9,FALSE)&lt;&gt;"","Yes","No"),""),"")</f>
        <v>No</v>
      </c>
      <c r="J24" s="204"/>
      <c r="K24" s="203" t="str" cm="1">
        <f t="array" ref="K24">_xlfn.IFS((F24&gt;=GlobalSettings!$C$6),"No Remediation Needed",(F24&lt;GlobalSettings!$C$6)*(OR((I24=("No")),(J24=("")))),"Not Started",(F24&lt;GlobalSettings!$C$6)*(I24="Yes")*(OR((J24=""),(J24="Not Started"))),"Planned",(F24&lt;GlobalSettings!$C$6)*(I24="Yes")*(J24="In Process"),"In Progress")</f>
        <v>Not Started</v>
      </c>
    </row>
    <row r="25" spans="1:11" ht="30" x14ac:dyDescent="0.25">
      <c r="A25" s="190">
        <v>9</v>
      </c>
      <c r="B25" s="190">
        <v>2</v>
      </c>
      <c r="C25" s="195">
        <v>3.12</v>
      </c>
      <c r="D25" s="196" t="s">
        <v>187</v>
      </c>
      <c r="E25" s="197">
        <f>'Control 03'!G151</f>
        <v>0</v>
      </c>
      <c r="F25" s="198">
        <f>VLOOKUP(C25,ScoringTables!$B$3:$I$155,8,FALSE)</f>
        <v>0</v>
      </c>
      <c r="G25" s="198" t="str">
        <f>VLOOKUP(C25,ScoringTables!$B$3:$I$155,6,FALSE)</f>
        <v>High</v>
      </c>
      <c r="I25" s="203" t="str">
        <f>IFERROR(IF(F25&lt;GlobalSettings!$C$6,IF(VLOOKUP(C25,POAM!$D$4:$M$156,9,FALSE)&lt;&gt;"","Yes","No"),""),"")</f>
        <v>No</v>
      </c>
      <c r="J25" s="204"/>
      <c r="K25" s="203" t="str" cm="1">
        <f t="array" ref="K25">_xlfn.IFS((F25&gt;=GlobalSettings!$C$6),"No Remediation Needed",(F25&lt;GlobalSettings!$C$6)*(OR((I25=("No")),(J25=("")))),"Not Started",(F25&lt;GlobalSettings!$C$6)*(I25="Yes")*(OR((J25=""),(J25="Not Started"))),"Planned",(F25&lt;GlobalSettings!$C$6)*(I25="Yes")*(J25="In Process"),"In Progress")</f>
        <v>Not Started</v>
      </c>
    </row>
    <row r="26" spans="1:11" ht="30" x14ac:dyDescent="0.25">
      <c r="A26" s="190">
        <v>9</v>
      </c>
      <c r="B26" s="190">
        <v>3</v>
      </c>
      <c r="C26" s="195">
        <v>3.13</v>
      </c>
      <c r="D26" s="196" t="s">
        <v>188</v>
      </c>
      <c r="E26" s="197">
        <f>'Control 03'!G162</f>
        <v>0</v>
      </c>
      <c r="F26" s="198">
        <f>VLOOKUP(C26,ScoringTables!$B$3:$I$155,8,FALSE)</f>
        <v>0</v>
      </c>
      <c r="G26" s="198" t="str">
        <f>VLOOKUP(C26,ScoringTables!$B$3:$I$155,6,FALSE)</f>
        <v>Medium</v>
      </c>
      <c r="I26" s="203" t="str">
        <f>IFERROR(IF(F26&lt;GlobalSettings!$C$6,IF(VLOOKUP(C26,POAM!$D$4:$M$156,9,FALSE)&lt;&gt;"","Yes","No"),""),"")</f>
        <v>No</v>
      </c>
      <c r="J26" s="204"/>
      <c r="K26" s="203" t="str" cm="1">
        <f t="array" ref="K26">_xlfn.IFS((F26&gt;=GlobalSettings!$C$6),"No Remediation Needed",(F26&lt;GlobalSettings!$C$6)*(OR((I26=("No")),(J26=("")))),"Not Started",(F26&lt;GlobalSettings!$C$6)*(I26="Yes")*(OR((J26=""),(J26="Not Started"))),"Planned",(F26&lt;GlobalSettings!$C$6)*(I26="Yes")*(J26="In Process"),"In Progress")</f>
        <v>Not Started</v>
      </c>
    </row>
    <row r="27" spans="1:11" x14ac:dyDescent="0.25">
      <c r="A27" s="190">
        <v>9</v>
      </c>
      <c r="B27" s="190">
        <v>3</v>
      </c>
      <c r="C27" s="195">
        <v>3.14</v>
      </c>
      <c r="D27" s="196" t="s">
        <v>189</v>
      </c>
      <c r="E27" s="197">
        <f>'Control 03'!G173</f>
        <v>0</v>
      </c>
      <c r="F27" s="198">
        <f>VLOOKUP(C27,ScoringTables!$B$3:$I$155,8,FALSE)</f>
        <v>0</v>
      </c>
      <c r="G27" s="198" t="str">
        <f>VLOOKUP(C27,ScoringTables!$B$3:$I$155,6,FALSE)</f>
        <v>Medium</v>
      </c>
      <c r="I27" s="203" t="str">
        <f>IFERROR(IF(F27&lt;GlobalSettings!$C$6,IF(VLOOKUP(C27,POAM!$D$4:$M$156,9,FALSE)&lt;&gt;"","Yes","No"),""),"")</f>
        <v>No</v>
      </c>
      <c r="J27" s="204"/>
      <c r="K27" s="203" t="str" cm="1">
        <f t="array" ref="K27">_xlfn.IFS((F27&gt;=GlobalSettings!$C$6),"No Remediation Needed",(F27&lt;GlobalSettings!$C$6)*(OR((I27=("No")),(J27=("")))),"Not Started",(F27&lt;GlobalSettings!$C$6)*(I27="Yes")*(OR((J27=""),(J27="Not Started"))),"Planned",(F27&lt;GlobalSettings!$C$6)*(I27="Yes")*(J27="In Process"),"In Progress")</f>
        <v>Not Started</v>
      </c>
    </row>
    <row r="28" spans="1:11" ht="30" x14ac:dyDescent="0.25">
      <c r="A28" s="190">
        <v>0</v>
      </c>
      <c r="B28" s="190">
        <v>1</v>
      </c>
      <c r="C28" s="195">
        <v>4.01</v>
      </c>
      <c r="D28" s="196" t="s">
        <v>190</v>
      </c>
      <c r="E28" s="197">
        <f>'Control 04'!G14</f>
        <v>0</v>
      </c>
      <c r="F28" s="198">
        <f>VLOOKUP(C28,ScoringTables!$B$3:$I$155,8,FALSE)</f>
        <v>0</v>
      </c>
      <c r="G28" s="198" t="str">
        <f>VLOOKUP(C28,ScoringTables!$B$3:$I$155,6,FALSE)</f>
        <v>Critical</v>
      </c>
      <c r="I28" s="203" t="str">
        <f>IFERROR(IF(F28&lt;GlobalSettings!$C$6,IF(VLOOKUP(C28,POAM!$D$4:$M$156,9,FALSE)&lt;&gt;"","Yes","No"),""),"")</f>
        <v>No</v>
      </c>
      <c r="J28" s="204"/>
      <c r="K28" s="203" t="str" cm="1">
        <f t="array" ref="K28">_xlfn.IFS((F28&gt;=GlobalSettings!$C$6),"No Remediation Needed",(F28&lt;GlobalSettings!$C$6)*(OR((I28=("No")),(J28=("")))),"Not Started",(F28&lt;GlobalSettings!$C$6)*(I28="Yes")*(OR((J28=""),(J28="Not Started"))),"Planned",(F28&lt;GlobalSettings!$C$6)*(I28="Yes")*(J28="In Process"),"In Progress")</f>
        <v>Not Started</v>
      </c>
    </row>
    <row r="29" spans="1:11" ht="45" x14ac:dyDescent="0.25">
      <c r="A29" s="190">
        <v>9</v>
      </c>
      <c r="B29" s="190">
        <v>1</v>
      </c>
      <c r="C29" s="195">
        <v>4.0199999999999996</v>
      </c>
      <c r="D29" s="196" t="s">
        <v>191</v>
      </c>
      <c r="E29" s="197">
        <f>'Control 04'!G26</f>
        <v>0</v>
      </c>
      <c r="F29" s="198">
        <f>VLOOKUP(C29,ScoringTables!$B$3:$I$155,8,FALSE)</f>
        <v>0</v>
      </c>
      <c r="G29" s="198" t="str">
        <f>VLOOKUP(C29,ScoringTables!$B$3:$I$155,6,FALSE)</f>
        <v>High</v>
      </c>
      <c r="I29" s="203" t="str">
        <f>IFERROR(IF(F29&lt;GlobalSettings!$C$6,IF(VLOOKUP(C29,POAM!$D$4:$M$156,9,FALSE)&lt;&gt;"","Yes","No"),""),"")</f>
        <v>No</v>
      </c>
      <c r="J29" s="204"/>
      <c r="K29" s="203" t="str" cm="1">
        <f t="array" ref="K29">_xlfn.IFS((F29&gt;=GlobalSettings!$C$6),"No Remediation Needed",(F29&lt;GlobalSettings!$C$6)*(OR((I29=("No")),(J29=("")))),"Not Started",(F29&lt;GlobalSettings!$C$6)*(I29="Yes")*(OR((J29=""),(J29="Not Started"))),"Planned",(F29&lt;GlobalSettings!$C$6)*(I29="Yes")*(J29="In Process"),"In Progress")</f>
        <v>Not Started</v>
      </c>
    </row>
    <row r="30" spans="1:11" ht="30" x14ac:dyDescent="0.25">
      <c r="A30" s="190">
        <v>0</v>
      </c>
      <c r="B30" s="190">
        <v>1</v>
      </c>
      <c r="C30" s="195">
        <v>4.03</v>
      </c>
      <c r="D30" s="196" t="s">
        <v>192</v>
      </c>
      <c r="E30" s="197">
        <f>'Control 04'!G38</f>
        <v>0</v>
      </c>
      <c r="F30" s="198">
        <f>VLOOKUP(C30,ScoringTables!$B$3:$I$155,8,FALSE)</f>
        <v>0</v>
      </c>
      <c r="G30" s="198" t="str">
        <f>VLOOKUP(C30,ScoringTables!$B$3:$I$155,6,FALSE)</f>
        <v>Medium</v>
      </c>
      <c r="I30" s="203" t="str">
        <f>IFERROR(IF(F30&lt;GlobalSettings!$C$6,IF(VLOOKUP(C30,POAM!$D$4:$M$156,9,FALSE)&lt;&gt;"","Yes","No"),""),"")</f>
        <v>No</v>
      </c>
      <c r="J30" s="204"/>
      <c r="K30" s="203" t="str" cm="1">
        <f t="array" ref="K30">_xlfn.IFS((F30&gt;=GlobalSettings!$C$6),"No Remediation Needed",(F30&lt;GlobalSettings!$C$6)*(OR((I30=("No")),(J30=("")))),"Not Started",(F30&lt;GlobalSettings!$C$6)*(I30="Yes")*(OR((J30=""),(J30="Not Started"))),"Planned",(F30&lt;GlobalSettings!$C$6)*(I30="Yes")*(J30="In Process"),"In Progress")</f>
        <v>Not Started</v>
      </c>
    </row>
    <row r="31" spans="1:11" ht="30" x14ac:dyDescent="0.25">
      <c r="A31" s="190">
        <v>0</v>
      </c>
      <c r="B31" s="190">
        <v>1</v>
      </c>
      <c r="C31" s="195">
        <v>4.04</v>
      </c>
      <c r="D31" s="196" t="s">
        <v>193</v>
      </c>
      <c r="E31" s="197">
        <f>'Control 04'!G50</f>
        <v>0</v>
      </c>
      <c r="F31" s="198">
        <f>VLOOKUP(C31,ScoringTables!$B$3:$I$155,8,FALSE)</f>
        <v>0</v>
      </c>
      <c r="G31" s="198" t="str">
        <f>VLOOKUP(C31,ScoringTables!$B$3:$I$155,6,FALSE)</f>
        <v>High</v>
      </c>
      <c r="I31" s="203" t="str">
        <f>IFERROR(IF(F31&lt;GlobalSettings!$C$6,IF(VLOOKUP(C31,POAM!$D$4:$M$156,9,FALSE)&lt;&gt;"","Yes","No"),""),"")</f>
        <v>No</v>
      </c>
      <c r="J31" s="204"/>
      <c r="K31" s="203" t="str" cm="1">
        <f t="array" ref="K31">_xlfn.IFS((F31&gt;=GlobalSettings!$C$6),"No Remediation Needed",(F31&lt;GlobalSettings!$C$6)*(OR((I31=("No")),(J31=("")))),"Not Started",(F31&lt;GlobalSettings!$C$6)*(I31="Yes")*(OR((J31=""),(J31="Not Started"))),"Planned",(F31&lt;GlobalSettings!$C$6)*(I31="Yes")*(J31="In Process"),"In Progress")</f>
        <v>Not Started</v>
      </c>
    </row>
    <row r="32" spans="1:11" ht="30" x14ac:dyDescent="0.25">
      <c r="A32" s="190">
        <v>0</v>
      </c>
      <c r="B32" s="190">
        <v>1</v>
      </c>
      <c r="C32" s="195">
        <v>4.05</v>
      </c>
      <c r="D32" s="196" t="s">
        <v>194</v>
      </c>
      <c r="E32" s="197">
        <f>'Control 04'!G67</f>
        <v>0</v>
      </c>
      <c r="F32" s="198">
        <f>VLOOKUP(C32,ScoringTables!$B$3:$I$155,8,FALSE)</f>
        <v>0</v>
      </c>
      <c r="G32" s="198" t="str">
        <f>VLOOKUP(C32,ScoringTables!$B$3:$I$155,6,FALSE)</f>
        <v>Medium</v>
      </c>
      <c r="I32" s="203" t="str">
        <f>IFERROR(IF(F32&lt;GlobalSettings!$C$6,IF(VLOOKUP(C32,POAM!$D$4:$M$156,9,FALSE)&lt;&gt;"","Yes","No"),""),"")</f>
        <v>No</v>
      </c>
      <c r="J32" s="204"/>
      <c r="K32" s="203" t="str" cm="1">
        <f t="array" ref="K32">_xlfn.IFS((F32&gt;=GlobalSettings!$C$6),"No Remediation Needed",(F32&lt;GlobalSettings!$C$6)*(OR((I32=("No")),(J32=("")))),"Not Started",(F32&lt;GlobalSettings!$C$6)*(I32="Yes")*(OR((J32=""),(J32="Not Started"))),"Planned",(F32&lt;GlobalSettings!$C$6)*(I32="Yes")*(J32="In Process"),"In Progress")</f>
        <v>Not Started</v>
      </c>
    </row>
    <row r="33" spans="1:11" ht="30" x14ac:dyDescent="0.25">
      <c r="A33" s="190">
        <v>9</v>
      </c>
      <c r="B33" s="190">
        <v>1</v>
      </c>
      <c r="C33" s="195">
        <v>4.0599999999999996</v>
      </c>
      <c r="D33" s="196" t="s">
        <v>195</v>
      </c>
      <c r="E33" s="197">
        <f>'Control 04'!G78</f>
        <v>0</v>
      </c>
      <c r="F33" s="198">
        <f>VLOOKUP(C33,ScoringTables!$B$3:$I$155,8,FALSE)</f>
        <v>0</v>
      </c>
      <c r="G33" s="198" t="str">
        <f>VLOOKUP(C33,ScoringTables!$B$3:$I$155,6,FALSE)</f>
        <v>Medium</v>
      </c>
      <c r="I33" s="203" t="str">
        <f>IFERROR(IF(F33&lt;GlobalSettings!$C$6,IF(VLOOKUP(C33,POAM!$D$4:$M$156,9,FALSE)&lt;&gt;"","Yes","No"),""),"")</f>
        <v>No</v>
      </c>
      <c r="J33" s="204"/>
      <c r="K33" s="203" t="str" cm="1">
        <f t="array" ref="K33">_xlfn.IFS((F33&gt;=GlobalSettings!$C$6),"No Remediation Needed",(F33&lt;GlobalSettings!$C$6)*(OR((I33=("No")),(J33=("")))),"Not Started",(F33&lt;GlobalSettings!$C$6)*(I33="Yes")*(OR((J33=""),(J33="Not Started"))),"Planned",(F33&lt;GlobalSettings!$C$6)*(I33="Yes")*(J33="In Process"),"In Progress")</f>
        <v>Not Started</v>
      </c>
    </row>
    <row r="34" spans="1:11" ht="30" x14ac:dyDescent="0.25">
      <c r="A34" s="190">
        <v>0</v>
      </c>
      <c r="B34" s="190">
        <v>1</v>
      </c>
      <c r="C34" s="195">
        <v>4.07</v>
      </c>
      <c r="D34" s="196" t="s">
        <v>196</v>
      </c>
      <c r="E34" s="197">
        <f>'Control 04'!G90</f>
        <v>0</v>
      </c>
      <c r="F34" s="198">
        <f>VLOOKUP(C34,ScoringTables!$B$3:$I$155,8,FALSE)</f>
        <v>0</v>
      </c>
      <c r="G34" s="198" t="str">
        <f>VLOOKUP(C34,ScoringTables!$B$3:$I$155,6,FALSE)</f>
        <v>Critical</v>
      </c>
      <c r="I34" s="203" t="str">
        <f>IFERROR(IF(F34&lt;GlobalSettings!$C$6,IF(VLOOKUP(C34,POAM!$D$4:$M$156,9,FALSE)&lt;&gt;"","Yes","No"),""),"")</f>
        <v>No</v>
      </c>
      <c r="J34" s="204"/>
      <c r="K34" s="203" t="str" cm="1">
        <f t="array" ref="K34">_xlfn.IFS((F34&gt;=GlobalSettings!$C$6),"No Remediation Needed",(F34&lt;GlobalSettings!$C$6)*(OR((I34=("No")),(J34=("")))),"Not Started",(F34&lt;GlobalSettings!$C$6)*(I34="Yes")*(OR((J34=""),(J34="Not Started"))),"Planned",(F34&lt;GlobalSettings!$C$6)*(I34="Yes")*(J34="In Process"),"In Progress")</f>
        <v>Not Started</v>
      </c>
    </row>
    <row r="35" spans="1:11" ht="45" x14ac:dyDescent="0.25">
      <c r="A35" s="190">
        <v>9</v>
      </c>
      <c r="B35" s="190">
        <v>2</v>
      </c>
      <c r="C35" s="195">
        <v>4.08</v>
      </c>
      <c r="D35" s="196" t="s">
        <v>197</v>
      </c>
      <c r="E35" s="197">
        <f>'Control 04'!G103</f>
        <v>0</v>
      </c>
      <c r="F35" s="198">
        <f>VLOOKUP(C35,ScoringTables!$B$3:$I$155,8,FALSE)</f>
        <v>0</v>
      </c>
      <c r="G35" s="198" t="str">
        <f>VLOOKUP(C35,ScoringTables!$B$3:$I$155,6,FALSE)</f>
        <v>Critical</v>
      </c>
      <c r="I35" s="203" t="str">
        <f>IFERROR(IF(F35&lt;GlobalSettings!$C$6,IF(VLOOKUP(C35,POAM!$D$4:$M$156,9,FALSE)&lt;&gt;"","Yes","No"),""),"")</f>
        <v>No</v>
      </c>
      <c r="J35" s="204"/>
      <c r="K35" s="203" t="str" cm="1">
        <f t="array" ref="K35">_xlfn.IFS((F35&gt;=GlobalSettings!$C$6),"No Remediation Needed",(F35&lt;GlobalSettings!$C$6)*(OR((I35=("No")),(J35=("")))),"Not Started",(F35&lt;GlobalSettings!$C$6)*(I35="Yes")*(OR((J35=""),(J35="Not Started"))),"Planned",(F35&lt;GlobalSettings!$C$6)*(I35="Yes")*(J35="In Process"),"In Progress")</f>
        <v>Not Started</v>
      </c>
    </row>
    <row r="36" spans="1:11" ht="30" x14ac:dyDescent="0.25">
      <c r="A36" s="190">
        <v>9</v>
      </c>
      <c r="B36" s="190">
        <v>2</v>
      </c>
      <c r="C36" s="195">
        <v>4.09</v>
      </c>
      <c r="D36" s="196" t="s">
        <v>198</v>
      </c>
      <c r="E36" s="197">
        <f>'Control 04'!G113</f>
        <v>0</v>
      </c>
      <c r="F36" s="198">
        <f>VLOOKUP(C36,ScoringTables!$B$3:$I$155,8,FALSE)</f>
        <v>0</v>
      </c>
      <c r="G36" s="198" t="str">
        <f>VLOOKUP(C36,ScoringTables!$B$3:$I$155,6,FALSE)</f>
        <v>Medium</v>
      </c>
      <c r="I36" s="203" t="str">
        <f>IFERROR(IF(F36&lt;GlobalSettings!$C$6,IF(VLOOKUP(C36,POAM!$D$4:$M$156,9,FALSE)&lt;&gt;"","Yes","No"),""),"")</f>
        <v>No</v>
      </c>
      <c r="J36" s="204"/>
      <c r="K36" s="203" t="str" cm="1">
        <f t="array" ref="K36">_xlfn.IFS((F36&gt;=GlobalSettings!$C$6),"No Remediation Needed",(F36&lt;GlobalSettings!$C$6)*(OR((I36=("No")),(J36=("")))),"Not Started",(F36&lt;GlobalSettings!$C$6)*(I36="Yes")*(OR((J36=""),(J36="Not Started"))),"Planned",(F36&lt;GlobalSettings!$C$6)*(I36="Yes")*(J36="In Process"),"In Progress")</f>
        <v>Not Started</v>
      </c>
    </row>
    <row r="37" spans="1:11" ht="30" x14ac:dyDescent="0.25">
      <c r="A37" s="190">
        <v>9</v>
      </c>
      <c r="B37" s="190">
        <v>2</v>
      </c>
      <c r="C37" s="195">
        <v>4.0999999999999996</v>
      </c>
      <c r="D37" s="196" t="s">
        <v>199</v>
      </c>
      <c r="E37" s="197">
        <f>'Control 04'!G124</f>
        <v>0</v>
      </c>
      <c r="F37" s="198">
        <f>VLOOKUP(C37,ScoringTables!$B$3:$I$155,8,FALSE)</f>
        <v>0</v>
      </c>
      <c r="G37" s="198" t="str">
        <f>VLOOKUP(C37,ScoringTables!$B$3:$I$155,6,FALSE)</f>
        <v>High</v>
      </c>
      <c r="I37" s="203" t="str">
        <f>IFERROR(IF(F37&lt;GlobalSettings!$C$6,IF(VLOOKUP(C37,POAM!$D$4:$M$156,9,FALSE)&lt;&gt;"","Yes","No"),""),"")</f>
        <v>No</v>
      </c>
      <c r="J37" s="204"/>
      <c r="K37" s="203" t="str" cm="1">
        <f t="array" ref="K37">_xlfn.IFS((F37&gt;=GlobalSettings!$C$6),"No Remediation Needed",(F37&lt;GlobalSettings!$C$6)*(OR((I37=("No")),(J37=("")))),"Not Started",(F37&lt;GlobalSettings!$C$6)*(I37="Yes")*(OR((J37=""),(J37="Not Started"))),"Planned",(F37&lt;GlobalSettings!$C$6)*(I37="Yes")*(J37="In Process"),"In Progress")</f>
        <v>Not Started</v>
      </c>
    </row>
    <row r="38" spans="1:11" ht="30" x14ac:dyDescent="0.25">
      <c r="A38" s="190">
        <v>9</v>
      </c>
      <c r="B38" s="190">
        <v>2</v>
      </c>
      <c r="C38" s="195">
        <v>4.1100000000000003</v>
      </c>
      <c r="D38" s="196" t="s">
        <v>200</v>
      </c>
      <c r="E38" s="197">
        <f>'Control 04'!G133</f>
        <v>0</v>
      </c>
      <c r="F38" s="198">
        <f>VLOOKUP(C38,ScoringTables!$B$3:$I$155,8,FALSE)</f>
        <v>0</v>
      </c>
      <c r="G38" s="198" t="str">
        <f>VLOOKUP(C38,ScoringTables!$B$3:$I$155,6,FALSE)</f>
        <v>Medium</v>
      </c>
      <c r="I38" s="203" t="str">
        <f>IFERROR(IF(F38&lt;GlobalSettings!$C$6,IF(VLOOKUP(C38,POAM!$D$4:$M$156,9,FALSE)&lt;&gt;"","Yes","No"),""),"")</f>
        <v>No</v>
      </c>
      <c r="J38" s="204"/>
      <c r="K38" s="203" t="str" cm="1">
        <f t="array" ref="K38">_xlfn.IFS((F38&gt;=GlobalSettings!$C$6),"No Remediation Needed",(F38&lt;GlobalSettings!$C$6)*(OR((I38=("No")),(J38=("")))),"Not Started",(F38&lt;GlobalSettings!$C$6)*(I38="Yes")*(OR((J38=""),(J38="Not Started"))),"Planned",(F38&lt;GlobalSettings!$C$6)*(I38="Yes")*(J38="In Process"),"In Progress")</f>
        <v>Not Started</v>
      </c>
    </row>
    <row r="39" spans="1:11" ht="30" x14ac:dyDescent="0.25">
      <c r="A39" s="190">
        <v>9</v>
      </c>
      <c r="B39" s="190">
        <v>3</v>
      </c>
      <c r="C39" s="195">
        <v>4.12</v>
      </c>
      <c r="D39" s="196" t="s">
        <v>201</v>
      </c>
      <c r="E39" s="197">
        <f>'Control 04'!G145</f>
        <v>0</v>
      </c>
      <c r="F39" s="198">
        <f>VLOOKUP(C39,ScoringTables!$B$3:$I$155,8,FALSE)</f>
        <v>0</v>
      </c>
      <c r="G39" s="198" t="str">
        <f>VLOOKUP(C39,ScoringTables!$B$3:$I$155,6,FALSE)</f>
        <v>Medium</v>
      </c>
      <c r="I39" s="203" t="str">
        <f>IFERROR(IF(F39&lt;GlobalSettings!$C$6,IF(VLOOKUP(C39,POAM!$D$4:$M$156,9,FALSE)&lt;&gt;"","Yes","No"),""),"")</f>
        <v>No</v>
      </c>
      <c r="J39" s="204"/>
      <c r="K39" s="203" t="str" cm="1">
        <f t="array" ref="K39">_xlfn.IFS((F39&gt;=GlobalSettings!$C$6),"No Remediation Needed",(F39&lt;GlobalSettings!$C$6)*(OR((I39=("No")),(J39=("")))),"Not Started",(F39&lt;GlobalSettings!$C$6)*(I39="Yes")*(OR((J39=""),(J39="Not Started"))),"Planned",(F39&lt;GlobalSettings!$C$6)*(I39="Yes")*(J39="In Process"),"In Progress")</f>
        <v>Not Started</v>
      </c>
    </row>
    <row r="40" spans="1:11" ht="30" x14ac:dyDescent="0.25">
      <c r="A40" s="190">
        <v>0</v>
      </c>
      <c r="B40" s="190">
        <v>1</v>
      </c>
      <c r="C40" s="195">
        <v>5.01</v>
      </c>
      <c r="D40" s="196" t="s">
        <v>202</v>
      </c>
      <c r="E40" s="197">
        <f>'Control 05'!G18</f>
        <v>0</v>
      </c>
      <c r="F40" s="198">
        <f>VLOOKUP(C40,ScoringTables!$B$3:$I$155,8,FALSE)</f>
        <v>0</v>
      </c>
      <c r="G40" s="198" t="str">
        <f>VLOOKUP(C40,ScoringTables!$B$3:$I$155,6,FALSE)</f>
        <v>High</v>
      </c>
      <c r="I40" s="203" t="str">
        <f>IFERROR(IF(F40&lt;GlobalSettings!$C$6,IF(VLOOKUP(C40,POAM!$D$4:$M$156,9,FALSE)&lt;&gt;"","Yes","No"),""),"")</f>
        <v>No</v>
      </c>
      <c r="J40" s="204"/>
      <c r="K40" s="203" t="str" cm="1">
        <f t="array" ref="K40">_xlfn.IFS((F40&gt;=GlobalSettings!$C$6),"No Remediation Needed",(F40&lt;GlobalSettings!$C$6)*(OR((I40=("No")),(J40=("")))),"Not Started",(F40&lt;GlobalSettings!$C$6)*(I40="Yes")*(OR((J40=""),(J40="Not Started"))),"Planned",(F40&lt;GlobalSettings!$C$6)*(I40="Yes")*(J40="In Process"),"In Progress")</f>
        <v>Not Started</v>
      </c>
    </row>
    <row r="41" spans="1:11" x14ac:dyDescent="0.25">
      <c r="A41" s="190">
        <v>0</v>
      </c>
      <c r="B41" s="190">
        <v>1</v>
      </c>
      <c r="C41" s="195">
        <v>5.0199999999999996</v>
      </c>
      <c r="D41" s="196" t="s">
        <v>203</v>
      </c>
      <c r="E41" s="197">
        <f>'Control 05'!G33</f>
        <v>0</v>
      </c>
      <c r="F41" s="198">
        <f>VLOOKUP(C41,ScoringTables!$B$3:$I$155,8,FALSE)</f>
        <v>0</v>
      </c>
      <c r="G41" s="198" t="str">
        <f>VLOOKUP(C41,ScoringTables!$B$3:$I$155,6,FALSE)</f>
        <v>High</v>
      </c>
      <c r="I41" s="203" t="str">
        <f>IFERROR(IF(F41&lt;GlobalSettings!$C$6,IF(VLOOKUP(C41,POAM!$D$4:$M$156,9,FALSE)&lt;&gt;"","Yes","No"),""),"")</f>
        <v>No</v>
      </c>
      <c r="J41" s="204"/>
      <c r="K41" s="203" t="str" cm="1">
        <f t="array" ref="K41">_xlfn.IFS((F41&gt;=GlobalSettings!$C$6),"No Remediation Needed",(F41&lt;GlobalSettings!$C$6)*(OR((I41=("No")),(J41=("")))),"Not Started",(F41&lt;GlobalSettings!$C$6)*(I41="Yes")*(OR((J41=""),(J41="Not Started"))),"Planned",(F41&lt;GlobalSettings!$C$6)*(I41="Yes")*(J41="In Process"),"In Progress")</f>
        <v>Not Started</v>
      </c>
    </row>
    <row r="42" spans="1:11" x14ac:dyDescent="0.25">
      <c r="A42" s="190">
        <v>0</v>
      </c>
      <c r="B42" s="190">
        <v>1</v>
      </c>
      <c r="C42" s="195">
        <v>5.03</v>
      </c>
      <c r="D42" s="196" t="s">
        <v>204</v>
      </c>
      <c r="E42" s="197">
        <f>'Control 05'!G46</f>
        <v>0</v>
      </c>
      <c r="F42" s="198">
        <f>VLOOKUP(C42,ScoringTables!$B$3:$I$155,8,FALSE)</f>
        <v>0</v>
      </c>
      <c r="G42" s="198" t="str">
        <f>VLOOKUP(C42,ScoringTables!$B$3:$I$155,6,FALSE)</f>
        <v>Critical</v>
      </c>
      <c r="I42" s="203" t="str">
        <f>IFERROR(IF(F42&lt;GlobalSettings!$C$6,IF(VLOOKUP(C42,POAM!$D$4:$M$156,9,FALSE)&lt;&gt;"","Yes","No"),""),"")</f>
        <v>No</v>
      </c>
      <c r="J42" s="204"/>
      <c r="K42" s="203" t="str" cm="1">
        <f t="array" ref="K42">_xlfn.IFS((F42&gt;=GlobalSettings!$C$6),"No Remediation Needed",(F42&lt;GlobalSettings!$C$6)*(OR((I42=("No")),(J42=("")))),"Not Started",(F42&lt;GlobalSettings!$C$6)*(I42="Yes")*(OR((J42=""),(J42="Not Started"))),"Planned",(F42&lt;GlobalSettings!$C$6)*(I42="Yes")*(J42="In Process"),"In Progress")</f>
        <v>Not Started</v>
      </c>
    </row>
    <row r="43" spans="1:11" ht="45" x14ac:dyDescent="0.25">
      <c r="A43" s="190">
        <v>0</v>
      </c>
      <c r="B43" s="190">
        <v>1</v>
      </c>
      <c r="C43" s="195">
        <v>5.04</v>
      </c>
      <c r="D43" s="196" t="s">
        <v>205</v>
      </c>
      <c r="E43" s="197">
        <f>'Control 05'!G59</f>
        <v>0</v>
      </c>
      <c r="F43" s="198">
        <f>VLOOKUP(C43,ScoringTables!$B$3:$I$155,8,FALSE)</f>
        <v>0</v>
      </c>
      <c r="G43" s="198" t="str">
        <f>VLOOKUP(C43,ScoringTables!$B$3:$I$155,6,FALSE)</f>
        <v>Critical</v>
      </c>
      <c r="I43" s="203" t="str">
        <f>IFERROR(IF(F43&lt;GlobalSettings!$C$6,IF(VLOOKUP(C43,POAM!$D$4:$M$156,9,FALSE)&lt;&gt;"","Yes","No"),""),"")</f>
        <v>No</v>
      </c>
      <c r="J43" s="204"/>
      <c r="K43" s="203" t="str" cm="1">
        <f t="array" ref="K43">_xlfn.IFS((F43&gt;=GlobalSettings!$C$6),"No Remediation Needed",(F43&lt;GlobalSettings!$C$6)*(OR((I43=("No")),(J43=("")))),"Not Started",(F43&lt;GlobalSettings!$C$6)*(I43="Yes")*(OR((J43=""),(J43="Not Started"))),"Planned",(F43&lt;GlobalSettings!$C$6)*(I43="Yes")*(J43="In Process"),"In Progress")</f>
        <v>Not Started</v>
      </c>
    </row>
    <row r="44" spans="1:11" ht="30" x14ac:dyDescent="0.25">
      <c r="A44" s="190">
        <v>9</v>
      </c>
      <c r="B44" s="190">
        <v>2</v>
      </c>
      <c r="C44" s="195">
        <v>5.05</v>
      </c>
      <c r="D44" s="196" t="s">
        <v>206</v>
      </c>
      <c r="E44" s="197">
        <f>'Control 05'!G74</f>
        <v>0</v>
      </c>
      <c r="F44" s="198">
        <f>VLOOKUP(C44,ScoringTables!$B$3:$I$155,8,FALSE)</f>
        <v>0</v>
      </c>
      <c r="G44" s="198" t="str">
        <f>VLOOKUP(C44,ScoringTables!$B$3:$I$155,6,FALSE)</f>
        <v>High</v>
      </c>
      <c r="I44" s="203" t="str">
        <f>IFERROR(IF(F44&lt;GlobalSettings!$C$6,IF(VLOOKUP(C44,POAM!$D$4:$M$156,9,FALSE)&lt;&gt;"","Yes","No"),""),"")</f>
        <v>No</v>
      </c>
      <c r="J44" s="204"/>
      <c r="K44" s="203" t="str" cm="1">
        <f t="array" ref="K44">_xlfn.IFS((F44&gt;=GlobalSettings!$C$6),"No Remediation Needed",(F44&lt;GlobalSettings!$C$6)*(OR((I44=("No")),(J44=("")))),"Not Started",(F44&lt;GlobalSettings!$C$6)*(I44="Yes")*(OR((J44=""),(J44="Not Started"))),"Planned",(F44&lt;GlobalSettings!$C$6)*(I44="Yes")*(J44="In Process"),"In Progress")</f>
        <v>Not Started</v>
      </c>
    </row>
    <row r="45" spans="1:11" x14ac:dyDescent="0.25">
      <c r="A45" s="190">
        <v>9</v>
      </c>
      <c r="B45" s="190">
        <v>2</v>
      </c>
      <c r="C45" s="195">
        <v>5.0599999999999996</v>
      </c>
      <c r="D45" s="196" t="s">
        <v>207</v>
      </c>
      <c r="E45" s="197">
        <f>'Control 05'!G83</f>
        <v>0</v>
      </c>
      <c r="F45" s="198">
        <f>VLOOKUP(C45,ScoringTables!$B$3:$I$155,8,FALSE)</f>
        <v>0</v>
      </c>
      <c r="G45" s="198" t="str">
        <f>VLOOKUP(C45,ScoringTables!$B$3:$I$155,6,FALSE)</f>
        <v>Medium</v>
      </c>
      <c r="I45" s="203" t="str">
        <f>IFERROR(IF(F45&lt;GlobalSettings!$C$6,IF(VLOOKUP(C45,POAM!$D$4:$M$156,9,FALSE)&lt;&gt;"","Yes","No"),""),"")</f>
        <v>No</v>
      </c>
      <c r="J45" s="204"/>
      <c r="K45" s="203" t="str" cm="1">
        <f t="array" ref="K45">_xlfn.IFS((F45&gt;=GlobalSettings!$C$6),"No Remediation Needed",(F45&lt;GlobalSettings!$C$6)*(OR((I45=("No")),(J45=("")))),"Not Started",(F45&lt;GlobalSettings!$C$6)*(I45="Yes")*(OR((J45=""),(J45="Not Started"))),"Planned",(F45&lt;GlobalSettings!$C$6)*(I45="Yes")*(J45="In Process"),"In Progress")</f>
        <v>Not Started</v>
      </c>
    </row>
    <row r="46" spans="1:11" ht="30" x14ac:dyDescent="0.25">
      <c r="A46" s="190">
        <v>0</v>
      </c>
      <c r="B46" s="190">
        <v>1</v>
      </c>
      <c r="C46" s="195">
        <v>6.01</v>
      </c>
      <c r="D46" s="196" t="s">
        <v>208</v>
      </c>
      <c r="E46" s="197">
        <f>'Control 06'!G12</f>
        <v>0</v>
      </c>
      <c r="F46" s="198">
        <f>VLOOKUP(C46,ScoringTables!$B$3:$I$155,8,FALSE)</f>
        <v>0</v>
      </c>
      <c r="G46" s="198" t="str">
        <f>VLOOKUP(C46,ScoringTables!$B$3:$I$155,6,FALSE)</f>
        <v>Critical</v>
      </c>
      <c r="I46" s="203" t="str">
        <f>IFERROR(IF(F46&lt;GlobalSettings!$C$6,IF(VLOOKUP(C46,POAM!$D$4:$M$156,9,FALSE)&lt;&gt;"","Yes","No"),""),"")</f>
        <v>No</v>
      </c>
      <c r="J46" s="204"/>
      <c r="K46" s="203" t="str" cm="1">
        <f t="array" ref="K46">_xlfn.IFS((F46&gt;=GlobalSettings!$C$6),"No Remediation Needed",(F46&lt;GlobalSettings!$C$6)*(OR((I46=("No")),(J46=("")))),"Not Started",(F46&lt;GlobalSettings!$C$6)*(I46="Yes")*(OR((J46=""),(J46="Not Started"))),"Planned",(F46&lt;GlobalSettings!$C$6)*(I46="Yes")*(J46="In Process"),"In Progress")</f>
        <v>Not Started</v>
      </c>
    </row>
    <row r="47" spans="1:11" ht="30" x14ac:dyDescent="0.25">
      <c r="A47" s="190">
        <v>0</v>
      </c>
      <c r="B47" s="190">
        <v>1</v>
      </c>
      <c r="C47" s="195">
        <v>6.02</v>
      </c>
      <c r="D47" s="196" t="s">
        <v>209</v>
      </c>
      <c r="E47" s="197">
        <f>'Control 06'!G22</f>
        <v>0</v>
      </c>
      <c r="F47" s="198">
        <f>VLOOKUP(C47,ScoringTables!$B$3:$I$155,8,FALSE)</f>
        <v>0</v>
      </c>
      <c r="G47" s="198" t="str">
        <f>VLOOKUP(C47,ScoringTables!$B$3:$I$155,6,FALSE)</f>
        <v>Critical</v>
      </c>
      <c r="I47" s="203" t="str">
        <f>IFERROR(IF(F47&lt;GlobalSettings!$C$6,IF(VLOOKUP(C47,POAM!$D$4:$M$156,9,FALSE)&lt;&gt;"","Yes","No"),""),"")</f>
        <v>No</v>
      </c>
      <c r="J47" s="204"/>
      <c r="K47" s="203" t="str" cm="1">
        <f t="array" ref="K47">_xlfn.IFS((F47&gt;=GlobalSettings!$C$6),"No Remediation Needed",(F47&lt;GlobalSettings!$C$6)*(OR((I47=("No")),(J47=("")))),"Not Started",(F47&lt;GlobalSettings!$C$6)*(I47="Yes")*(OR((J47=""),(J47="Not Started"))),"Planned",(F47&lt;GlobalSettings!$C$6)*(I47="Yes")*(J47="In Process"),"In Progress")</f>
        <v>Not Started</v>
      </c>
    </row>
    <row r="48" spans="1:11" ht="30" x14ac:dyDescent="0.25">
      <c r="A48" s="190">
        <v>9</v>
      </c>
      <c r="B48" s="190">
        <v>1</v>
      </c>
      <c r="C48" s="195">
        <v>6.03</v>
      </c>
      <c r="D48" s="196" t="s">
        <v>210</v>
      </c>
      <c r="E48" s="197">
        <f>'Control 06'!G31</f>
        <v>0</v>
      </c>
      <c r="F48" s="198">
        <f>VLOOKUP(C48,ScoringTables!$B$3:$I$155,8,FALSE)</f>
        <v>0</v>
      </c>
      <c r="G48" s="198" t="str">
        <f>VLOOKUP(C48,ScoringTables!$B$3:$I$155,6,FALSE)</f>
        <v>High</v>
      </c>
      <c r="I48" s="203" t="str">
        <f>IFERROR(IF(F48&lt;GlobalSettings!$C$6,IF(VLOOKUP(C48,POAM!$D$4:$M$156,9,FALSE)&lt;&gt;"","Yes","No"),""),"")</f>
        <v>No</v>
      </c>
      <c r="J48" s="204"/>
      <c r="K48" s="203" t="str" cm="1">
        <f t="array" ref="K48">_xlfn.IFS((F48&gt;=GlobalSettings!$C$6),"No Remediation Needed",(F48&lt;GlobalSettings!$C$6)*(OR((I48=("No")),(J48=("")))),"Not Started",(F48&lt;GlobalSettings!$C$6)*(I48="Yes")*(OR((J48=""),(J48="Not Started"))),"Planned",(F48&lt;GlobalSettings!$C$6)*(I48="Yes")*(J48="In Process"),"In Progress")</f>
        <v>Not Started</v>
      </c>
    </row>
    <row r="49" spans="1:11" ht="30" x14ac:dyDescent="0.25">
      <c r="A49" s="190">
        <v>0</v>
      </c>
      <c r="B49" s="190">
        <v>1</v>
      </c>
      <c r="C49" s="195">
        <v>6.04</v>
      </c>
      <c r="D49" s="196" t="s">
        <v>211</v>
      </c>
      <c r="E49" s="197">
        <f>'Control 06'!G41</f>
        <v>0</v>
      </c>
      <c r="F49" s="198">
        <f>VLOOKUP(C49,ScoringTables!$B$3:$I$155,8,FALSE)</f>
        <v>0</v>
      </c>
      <c r="G49" s="198" t="str">
        <f>VLOOKUP(C49,ScoringTables!$B$3:$I$155,6,FALSE)</f>
        <v>High</v>
      </c>
      <c r="I49" s="203" t="str">
        <f>IFERROR(IF(F49&lt;GlobalSettings!$C$6,IF(VLOOKUP(C49,POAM!$D$4:$M$156,9,FALSE)&lt;&gt;"","Yes","No"),""),"")</f>
        <v>No</v>
      </c>
      <c r="J49" s="204"/>
      <c r="K49" s="203" t="str" cm="1">
        <f t="array" ref="K49">_xlfn.IFS((F49&gt;=GlobalSettings!$C$6),"No Remediation Needed",(F49&lt;GlobalSettings!$C$6)*(OR((I49=("No")),(J49=("")))),"Not Started",(F49&lt;GlobalSettings!$C$6)*(I49="Yes")*(OR((J49=""),(J49="Not Started"))),"Planned",(F49&lt;GlobalSettings!$C$6)*(I49="Yes")*(J49="In Process"),"In Progress")</f>
        <v>Not Started</v>
      </c>
    </row>
    <row r="50" spans="1:11" ht="30" x14ac:dyDescent="0.25">
      <c r="A50" s="190">
        <v>0</v>
      </c>
      <c r="B50" s="190">
        <v>1</v>
      </c>
      <c r="C50" s="195">
        <v>6.05</v>
      </c>
      <c r="D50" s="196" t="s">
        <v>212</v>
      </c>
      <c r="E50" s="197">
        <f>'Control 06'!G51</f>
        <v>0</v>
      </c>
      <c r="F50" s="198">
        <f>VLOOKUP(C50,ScoringTables!$B$3:$I$155,8,FALSE)</f>
        <v>0</v>
      </c>
      <c r="G50" s="198" t="str">
        <f>VLOOKUP(C50,ScoringTables!$B$3:$I$155,6,FALSE)</f>
        <v>High</v>
      </c>
      <c r="I50" s="203" t="str">
        <f>IFERROR(IF(F50&lt;GlobalSettings!$C$6,IF(VLOOKUP(C50,POAM!$D$4:$M$156,9,FALSE)&lt;&gt;"","Yes","No"),""),"")</f>
        <v>No</v>
      </c>
      <c r="J50" s="204"/>
      <c r="K50" s="203" t="str" cm="1">
        <f t="array" ref="K50">_xlfn.IFS((F50&gt;=GlobalSettings!$C$6),"No Remediation Needed",(F50&lt;GlobalSettings!$C$6)*(OR((I50=("No")),(J50=("")))),"Not Started",(F50&lt;GlobalSettings!$C$6)*(I50="Yes")*(OR((J50=""),(J50="Not Started"))),"Planned",(F50&lt;GlobalSettings!$C$6)*(I50="Yes")*(J50="In Process"),"In Progress")</f>
        <v>Not Started</v>
      </c>
    </row>
    <row r="51" spans="1:11" ht="45" x14ac:dyDescent="0.25">
      <c r="A51" s="190">
        <v>9</v>
      </c>
      <c r="B51" s="190">
        <v>2</v>
      </c>
      <c r="C51" s="195">
        <v>6.06</v>
      </c>
      <c r="D51" s="196" t="s">
        <v>213</v>
      </c>
      <c r="E51" s="197">
        <f>'Control 06'!G64</f>
        <v>0</v>
      </c>
      <c r="F51" s="198">
        <f>VLOOKUP(C51,ScoringTables!$B$3:$I$155,8,FALSE)</f>
        <v>0</v>
      </c>
      <c r="G51" s="198" t="str">
        <f>VLOOKUP(C51,ScoringTables!$B$3:$I$155,6,FALSE)</f>
        <v>High</v>
      </c>
      <c r="I51" s="203" t="str">
        <f>IFERROR(IF(F51&lt;GlobalSettings!$C$6,IF(VLOOKUP(C51,POAM!$D$4:$M$156,9,FALSE)&lt;&gt;"","Yes","No"),""),"")</f>
        <v>No</v>
      </c>
      <c r="J51" s="204"/>
      <c r="K51" s="203" t="str" cm="1">
        <f t="array" ref="K51">_xlfn.IFS((F51&gt;=GlobalSettings!$C$6),"No Remediation Needed",(F51&lt;GlobalSettings!$C$6)*(OR((I51=("No")),(J51=("")))),"Not Started",(F51&lt;GlobalSettings!$C$6)*(I51="Yes")*(OR((J51=""),(J51="Not Started"))),"Planned",(F51&lt;GlobalSettings!$C$6)*(I51="Yes")*(J51="In Process"),"In Progress")</f>
        <v>Not Started</v>
      </c>
    </row>
    <row r="52" spans="1:11" x14ac:dyDescent="0.25">
      <c r="A52" s="190">
        <v>9</v>
      </c>
      <c r="B52" s="190">
        <v>2</v>
      </c>
      <c r="C52" s="195">
        <v>6.07</v>
      </c>
      <c r="D52" s="196" t="s">
        <v>214</v>
      </c>
      <c r="E52" s="197">
        <f>'Control 06'!G73</f>
        <v>0</v>
      </c>
      <c r="F52" s="198">
        <f>VLOOKUP(C52,ScoringTables!$B$3:$I$155,8,FALSE)</f>
        <v>0</v>
      </c>
      <c r="G52" s="198" t="str">
        <f>VLOOKUP(C52,ScoringTables!$B$3:$I$155,6,FALSE)</f>
        <v>Medium</v>
      </c>
      <c r="I52" s="203" t="str">
        <f>IFERROR(IF(F52&lt;GlobalSettings!$C$6,IF(VLOOKUP(C52,POAM!$D$4:$M$156,9,FALSE)&lt;&gt;"","Yes","No"),""),"")</f>
        <v>No</v>
      </c>
      <c r="J52" s="204"/>
      <c r="K52" s="203" t="str" cm="1">
        <f t="array" ref="K52">_xlfn.IFS((F52&gt;=GlobalSettings!$C$6),"No Remediation Needed",(F52&lt;GlobalSettings!$C$6)*(OR((I52=("No")),(J52=("")))),"Not Started",(F52&lt;GlobalSettings!$C$6)*(I52="Yes")*(OR((J52=""),(J52="Not Started"))),"Planned",(F52&lt;GlobalSettings!$C$6)*(I52="Yes")*(J52="In Process"),"In Progress")</f>
        <v>Not Started</v>
      </c>
    </row>
    <row r="53" spans="1:11" ht="30" x14ac:dyDescent="0.25">
      <c r="A53" s="190">
        <v>9</v>
      </c>
      <c r="B53" s="190">
        <v>3</v>
      </c>
      <c r="C53" s="195">
        <v>6.08</v>
      </c>
      <c r="D53" s="196" t="s">
        <v>215</v>
      </c>
      <c r="E53" s="197">
        <f>'Control 06'!G84</f>
        <v>0</v>
      </c>
      <c r="F53" s="198">
        <f>VLOOKUP(C53,ScoringTables!$B$3:$I$155,8,FALSE)</f>
        <v>0</v>
      </c>
      <c r="G53" s="198" t="str">
        <f>VLOOKUP(C53,ScoringTables!$B$3:$I$155,6,FALSE)</f>
        <v>Critical</v>
      </c>
      <c r="I53" s="203" t="str">
        <f>IFERROR(IF(F53&lt;GlobalSettings!$C$6,IF(VLOOKUP(C53,POAM!$D$4:$M$156,9,FALSE)&lt;&gt;"","Yes","No"),""),"")</f>
        <v>No</v>
      </c>
      <c r="J53" s="204"/>
      <c r="K53" s="203" t="str" cm="1">
        <f t="array" ref="K53">_xlfn.IFS((F53&gt;=GlobalSettings!$C$6),"No Remediation Needed",(F53&lt;GlobalSettings!$C$6)*(OR((I53=("No")),(J53=("")))),"Not Started",(F53&lt;GlobalSettings!$C$6)*(I53="Yes")*(OR((J53=""),(J53="Not Started"))),"Planned",(F53&lt;GlobalSettings!$C$6)*(I53="Yes")*(J53="In Process"),"In Progress")</f>
        <v>Not Started</v>
      </c>
    </row>
    <row r="54" spans="1:11" ht="45" x14ac:dyDescent="0.25">
      <c r="A54" s="190">
        <v>0</v>
      </c>
      <c r="B54" s="190">
        <v>1</v>
      </c>
      <c r="C54" s="195">
        <v>7.01</v>
      </c>
      <c r="D54" s="196" t="s">
        <v>216</v>
      </c>
      <c r="E54" s="197">
        <f>'Control 07'!G10</f>
        <v>0</v>
      </c>
      <c r="F54" s="198">
        <f>VLOOKUP(C54,ScoringTables!$B$3:$I$155,8,FALSE)</f>
        <v>0</v>
      </c>
      <c r="G54" s="198" t="str">
        <f>VLOOKUP(C54,ScoringTables!$B$3:$I$155,6,FALSE)</f>
        <v>Medium</v>
      </c>
      <c r="I54" s="203" t="str">
        <f>IFERROR(IF(F54&lt;GlobalSettings!$C$6,IF(VLOOKUP(C54,POAM!$D$4:$M$156,9,FALSE)&lt;&gt;"","Yes","No"),""),"")</f>
        <v>No</v>
      </c>
      <c r="J54" s="204"/>
      <c r="K54" s="203" t="str" cm="1">
        <f t="array" ref="K54">_xlfn.IFS((F54&gt;=GlobalSettings!$C$6),"No Remediation Needed",(F54&lt;GlobalSettings!$C$6)*(OR((I54=("No")),(J54=("")))),"Not Started",(F54&lt;GlobalSettings!$C$6)*(I54="Yes")*(OR((J54=""),(J54="Not Started"))),"Planned",(F54&lt;GlobalSettings!$C$6)*(I54="Yes")*(J54="In Process"),"In Progress")</f>
        <v>Not Started</v>
      </c>
    </row>
    <row r="55" spans="1:11" ht="30" x14ac:dyDescent="0.25">
      <c r="A55" s="190">
        <v>0</v>
      </c>
      <c r="B55" s="190">
        <v>1</v>
      </c>
      <c r="C55" s="195">
        <v>7.02</v>
      </c>
      <c r="D55" s="196" t="s">
        <v>217</v>
      </c>
      <c r="E55" s="197">
        <f>'Control 07'!G21</f>
        <v>0</v>
      </c>
      <c r="F55" s="198">
        <f>VLOOKUP(C55,ScoringTables!$B$3:$I$155,8,FALSE)</f>
        <v>0</v>
      </c>
      <c r="G55" s="198" t="str">
        <f>VLOOKUP(C55,ScoringTables!$B$3:$I$155,6,FALSE)</f>
        <v>Medium</v>
      </c>
      <c r="I55" s="203" t="str">
        <f>IFERROR(IF(F55&lt;GlobalSettings!$C$6,IF(VLOOKUP(C55,POAM!$D$4:$M$156,9,FALSE)&lt;&gt;"","Yes","No"),""),"")</f>
        <v>No</v>
      </c>
      <c r="J55" s="204"/>
      <c r="K55" s="203" t="str" cm="1">
        <f t="array" ref="K55">_xlfn.IFS((F55&gt;=GlobalSettings!$C$6),"No Remediation Needed",(F55&lt;GlobalSettings!$C$6)*(OR((I55=("No")),(J55=("")))),"Not Started",(F55&lt;GlobalSettings!$C$6)*(I55="Yes")*(OR((J55=""),(J55="Not Started"))),"Planned",(F55&lt;GlobalSettings!$C$6)*(I55="Yes")*(J55="In Process"),"In Progress")</f>
        <v>Not Started</v>
      </c>
    </row>
    <row r="56" spans="1:11" ht="30" x14ac:dyDescent="0.25">
      <c r="A56" s="190">
        <v>0</v>
      </c>
      <c r="B56" s="190">
        <v>1</v>
      </c>
      <c r="C56" s="195">
        <v>7.03</v>
      </c>
      <c r="D56" s="196" t="s">
        <v>218</v>
      </c>
      <c r="E56" s="197">
        <f>'Control 07'!G40</f>
        <v>0</v>
      </c>
      <c r="F56" s="198">
        <f>VLOOKUP(C56,ScoringTables!$B$3:$I$155,8,FALSE)</f>
        <v>0</v>
      </c>
      <c r="G56" s="198" t="str">
        <f>VLOOKUP(C56,ScoringTables!$B$3:$I$155,6,FALSE)</f>
        <v>Medium</v>
      </c>
      <c r="I56" s="203" t="str">
        <f>IFERROR(IF(F56&lt;GlobalSettings!$C$6,IF(VLOOKUP(C56,POAM!$D$4:$M$156,9,FALSE)&lt;&gt;"","Yes","No"),""),"")</f>
        <v>No</v>
      </c>
      <c r="J56" s="204"/>
      <c r="K56" s="203" t="str" cm="1">
        <f t="array" ref="K56">_xlfn.IFS((F56&gt;=GlobalSettings!$C$6),"No Remediation Needed",(F56&lt;GlobalSettings!$C$6)*(OR((I56=("No")),(J56=("")))),"Not Started",(F56&lt;GlobalSettings!$C$6)*(I56="Yes")*(OR((J56=""),(J56="Not Started"))),"Planned",(F56&lt;GlobalSettings!$C$6)*(I56="Yes")*(J56="In Process"),"In Progress")</f>
        <v>Not Started</v>
      </c>
    </row>
    <row r="57" spans="1:11" ht="30" x14ac:dyDescent="0.25">
      <c r="A57" s="190">
        <v>0</v>
      </c>
      <c r="B57" s="190">
        <v>1</v>
      </c>
      <c r="C57" s="195">
        <v>7.04</v>
      </c>
      <c r="D57" s="196" t="s">
        <v>219</v>
      </c>
      <c r="E57" s="197">
        <f>'Control 07'!G59</f>
        <v>0</v>
      </c>
      <c r="F57" s="198">
        <f>VLOOKUP(C57,ScoringTables!$B$3:$I$155,8,FALSE)</f>
        <v>0</v>
      </c>
      <c r="G57" s="198" t="str">
        <f>VLOOKUP(C57,ScoringTables!$B$3:$I$155,6,FALSE)</f>
        <v>Medium</v>
      </c>
      <c r="I57" s="203" t="str">
        <f>IFERROR(IF(F57&lt;GlobalSettings!$C$6,IF(VLOOKUP(C57,POAM!$D$4:$M$156,9,FALSE)&lt;&gt;"","Yes","No"),""),"")</f>
        <v>No</v>
      </c>
      <c r="J57" s="204"/>
      <c r="K57" s="203" t="str" cm="1">
        <f t="array" ref="K57">_xlfn.IFS((F57&gt;=GlobalSettings!$C$6),"No Remediation Needed",(F57&lt;GlobalSettings!$C$6)*(OR((I57=("No")),(J57=("")))),"Not Started",(F57&lt;GlobalSettings!$C$6)*(I57="Yes")*(OR((J57=""),(J57="Not Started"))),"Planned",(F57&lt;GlobalSettings!$C$6)*(I57="Yes")*(J57="In Process"),"In Progress")</f>
        <v>Not Started</v>
      </c>
    </row>
    <row r="58" spans="1:11" ht="30" x14ac:dyDescent="0.25">
      <c r="A58" s="190">
        <v>0</v>
      </c>
      <c r="B58" s="190">
        <v>2</v>
      </c>
      <c r="C58" s="195">
        <v>7.05</v>
      </c>
      <c r="D58" s="196" t="s">
        <v>220</v>
      </c>
      <c r="E58" s="197">
        <f>'Control 07'!G80</f>
        <v>0</v>
      </c>
      <c r="F58" s="198">
        <f>VLOOKUP(C58,ScoringTables!$B$3:$I$155,8,FALSE)</f>
        <v>0</v>
      </c>
      <c r="G58" s="198" t="str">
        <f>VLOOKUP(C58,ScoringTables!$B$3:$I$155,6,FALSE)</f>
        <v>Medium</v>
      </c>
      <c r="I58" s="203" t="str">
        <f>IFERROR(IF(F58&lt;GlobalSettings!$C$6,IF(VLOOKUP(C58,POAM!$D$4:$M$156,9,FALSE)&lt;&gt;"","Yes","No"),""),"")</f>
        <v>No</v>
      </c>
      <c r="J58" s="204"/>
      <c r="K58" s="203" t="str" cm="1">
        <f t="array" ref="K58">_xlfn.IFS((F58&gt;=GlobalSettings!$C$6),"No Remediation Needed",(F58&lt;GlobalSettings!$C$6)*(OR((I58=("No")),(J58=("")))),"Not Started",(F58&lt;GlobalSettings!$C$6)*(I58="Yes")*(OR((J58=""),(J58="Not Started"))),"Planned",(F58&lt;GlobalSettings!$C$6)*(I58="Yes")*(J58="In Process"),"In Progress")</f>
        <v>Not Started</v>
      </c>
    </row>
    <row r="59" spans="1:11" ht="45" x14ac:dyDescent="0.25">
      <c r="A59" s="190">
        <v>0</v>
      </c>
      <c r="B59" s="190">
        <v>2</v>
      </c>
      <c r="C59" s="195">
        <v>7.06</v>
      </c>
      <c r="D59" s="196" t="s">
        <v>221</v>
      </c>
      <c r="E59" s="197">
        <f>'Control 07'!G94</f>
        <v>0</v>
      </c>
      <c r="F59" s="198">
        <f>VLOOKUP(C59,ScoringTables!$B$3:$I$155,8,FALSE)</f>
        <v>0</v>
      </c>
      <c r="G59" s="198" t="str">
        <f>VLOOKUP(C59,ScoringTables!$B$3:$I$155,6,FALSE)</f>
        <v>High</v>
      </c>
      <c r="I59" s="203" t="str">
        <f>IFERROR(IF(F59&lt;GlobalSettings!$C$6,IF(VLOOKUP(C59,POAM!$D$4:$M$156,9,FALSE)&lt;&gt;"","Yes","No"),""),"")</f>
        <v>No</v>
      </c>
      <c r="J59" s="204"/>
      <c r="K59" s="203" t="str" cm="1">
        <f t="array" ref="K59">_xlfn.IFS((F59&gt;=GlobalSettings!$C$6),"No Remediation Needed",(F59&lt;GlobalSettings!$C$6)*(OR((I59=("No")),(J59=("")))),"Not Started",(F59&lt;GlobalSettings!$C$6)*(I59="Yes")*(OR((J59=""),(J59="Not Started"))),"Planned",(F59&lt;GlobalSettings!$C$6)*(I59="Yes")*(J59="In Process"),"In Progress")</f>
        <v>Not Started</v>
      </c>
    </row>
    <row r="60" spans="1:11" ht="30" x14ac:dyDescent="0.25">
      <c r="A60" s="190">
        <v>9</v>
      </c>
      <c r="B60" s="190">
        <v>2</v>
      </c>
      <c r="C60" s="195">
        <v>7.07</v>
      </c>
      <c r="D60" s="196" t="s">
        <v>222</v>
      </c>
      <c r="E60" s="197">
        <f>'Control 07'!G104</f>
        <v>0</v>
      </c>
      <c r="F60" s="198">
        <f>VLOOKUP(C60,ScoringTables!$B$3:$I$155,8,FALSE)</f>
        <v>0</v>
      </c>
      <c r="G60" s="198" t="str">
        <f>VLOOKUP(C60,ScoringTables!$B$3:$I$155,6,FALSE)</f>
        <v>High</v>
      </c>
      <c r="I60" s="203" t="str">
        <f>IFERROR(IF(F60&lt;GlobalSettings!$C$6,IF(VLOOKUP(C60,POAM!$D$4:$M$156,9,FALSE)&lt;&gt;"","Yes","No"),""),"")</f>
        <v>No</v>
      </c>
      <c r="J60" s="204"/>
      <c r="K60" s="203" t="str" cm="1">
        <f t="array" ref="K60">_xlfn.IFS((F60&gt;=GlobalSettings!$C$6),"No Remediation Needed",(F60&lt;GlobalSettings!$C$6)*(OR((I60=("No")),(J60=("")))),"Not Started",(F60&lt;GlobalSettings!$C$6)*(I60="Yes")*(OR((J60=""),(J60="Not Started"))),"Planned",(F60&lt;GlobalSettings!$C$6)*(I60="Yes")*(J60="In Process"),"In Progress")</f>
        <v>Not Started</v>
      </c>
    </row>
    <row r="61" spans="1:11" ht="30" x14ac:dyDescent="0.25">
      <c r="A61" s="190">
        <v>0</v>
      </c>
      <c r="B61" s="190">
        <v>1</v>
      </c>
      <c r="C61" s="195">
        <v>8.01</v>
      </c>
      <c r="D61" s="196" t="s">
        <v>223</v>
      </c>
      <c r="E61" s="197">
        <f>'Control 08'!G13</f>
        <v>0</v>
      </c>
      <c r="F61" s="198">
        <f>VLOOKUP(C61,ScoringTables!$B$3:$I$155,8,FALSE)</f>
        <v>0</v>
      </c>
      <c r="G61" s="198" t="str">
        <f>VLOOKUP(C61,ScoringTables!$B$3:$I$155,6,FALSE)</f>
        <v>High</v>
      </c>
      <c r="I61" s="203" t="str">
        <f>IFERROR(IF(F61&lt;GlobalSettings!$C$6,IF(VLOOKUP(C61,POAM!$D$4:$M$156,9,FALSE)&lt;&gt;"","Yes","No"),""),"")</f>
        <v>No</v>
      </c>
      <c r="J61" s="204"/>
      <c r="K61" s="203" t="str" cm="1">
        <f t="array" ref="K61">_xlfn.IFS((F61&gt;=GlobalSettings!$C$6),"No Remediation Needed",(F61&lt;GlobalSettings!$C$6)*(OR((I61=("No")),(J61=("")))),"Not Started",(F61&lt;GlobalSettings!$C$6)*(I61="Yes")*(OR((J61=""),(J61="Not Started"))),"Planned",(F61&lt;GlobalSettings!$C$6)*(I61="Yes")*(J61="In Process"),"In Progress")</f>
        <v>Not Started</v>
      </c>
    </row>
    <row r="62" spans="1:11" x14ac:dyDescent="0.25">
      <c r="A62" s="190">
        <v>0</v>
      </c>
      <c r="B62" s="190">
        <v>1</v>
      </c>
      <c r="C62" s="195">
        <v>8.02</v>
      </c>
      <c r="D62" s="196" t="s">
        <v>224</v>
      </c>
      <c r="E62" s="197">
        <f>'Control 08'!G25</f>
        <v>0</v>
      </c>
      <c r="F62" s="198">
        <f>VLOOKUP(C62,ScoringTables!$B$3:$I$155,8,FALSE)</f>
        <v>0</v>
      </c>
      <c r="G62" s="198" t="str">
        <f>VLOOKUP(C62,ScoringTables!$B$3:$I$155,6,FALSE)</f>
        <v>High</v>
      </c>
      <c r="I62" s="203" t="str">
        <f>IFERROR(IF(F62&lt;GlobalSettings!$C$6,IF(VLOOKUP(C62,POAM!$D$4:$M$156,9,FALSE)&lt;&gt;"","Yes","No"),""),"")</f>
        <v>No</v>
      </c>
      <c r="J62" s="204"/>
      <c r="K62" s="203" t="str" cm="1">
        <f t="array" ref="K62">_xlfn.IFS((F62&gt;=GlobalSettings!$C$6),"No Remediation Needed",(F62&lt;GlobalSettings!$C$6)*(OR((I62=("No")),(J62=("")))),"Not Started",(F62&lt;GlobalSettings!$C$6)*(I62="Yes")*(OR((J62=""),(J62="Not Started"))),"Planned",(F62&lt;GlobalSettings!$C$6)*(I62="Yes")*(J62="In Process"),"In Progress")</f>
        <v>Not Started</v>
      </c>
    </row>
    <row r="63" spans="1:11" ht="30" x14ac:dyDescent="0.25">
      <c r="A63" s="190">
        <v>0</v>
      </c>
      <c r="B63" s="190">
        <v>1</v>
      </c>
      <c r="C63" s="195">
        <v>8.0299999999999994</v>
      </c>
      <c r="D63" s="196" t="s">
        <v>225</v>
      </c>
      <c r="E63" s="197">
        <f>'Control 08'!G41</f>
        <v>0</v>
      </c>
      <c r="F63" s="198">
        <f>VLOOKUP(C63,ScoringTables!$B$3:$I$155,8,FALSE)</f>
        <v>0</v>
      </c>
      <c r="G63" s="198" t="str">
        <f>VLOOKUP(C63,ScoringTables!$B$3:$I$155,6,FALSE)</f>
        <v>High</v>
      </c>
      <c r="I63" s="203" t="str">
        <f>IFERROR(IF(F63&lt;GlobalSettings!$C$6,IF(VLOOKUP(C63,POAM!$D$4:$M$156,9,FALSE)&lt;&gt;"","Yes","No"),""),"")</f>
        <v>No</v>
      </c>
      <c r="J63" s="204"/>
      <c r="K63" s="203" t="str" cm="1">
        <f t="array" ref="K63">_xlfn.IFS((F63&gt;=GlobalSettings!$C$6),"No Remediation Needed",(F63&lt;GlobalSettings!$C$6)*(OR((I63=("No")),(J63=("")))),"Not Started",(F63&lt;GlobalSettings!$C$6)*(I63="Yes")*(OR((J63=""),(J63="Not Started"))),"Planned",(F63&lt;GlobalSettings!$C$6)*(I63="Yes")*(J63="In Process"),"In Progress")</f>
        <v>Not Started</v>
      </c>
    </row>
    <row r="64" spans="1:11" x14ac:dyDescent="0.25">
      <c r="A64" s="190">
        <v>0</v>
      </c>
      <c r="B64" s="190">
        <v>2</v>
      </c>
      <c r="C64" s="195">
        <v>8.0399999999999991</v>
      </c>
      <c r="D64" s="196" t="s">
        <v>226</v>
      </c>
      <c r="E64" s="197">
        <f>'Control 08'!G51</f>
        <v>0</v>
      </c>
      <c r="F64" s="198">
        <f>VLOOKUP(C64,ScoringTables!$B$3:$I$155,8,FALSE)</f>
        <v>0</v>
      </c>
      <c r="G64" s="198" t="str">
        <f>VLOOKUP(C64,ScoringTables!$B$3:$I$155,6,FALSE)</f>
        <v>Medium</v>
      </c>
      <c r="I64" s="203" t="str">
        <f>IFERROR(IF(F64&lt;GlobalSettings!$C$6,IF(VLOOKUP(C64,POAM!$D$4:$M$156,9,FALSE)&lt;&gt;"","Yes","No"),""),"")</f>
        <v>No</v>
      </c>
      <c r="J64" s="204"/>
      <c r="K64" s="203" t="str" cm="1">
        <f t="array" ref="K64">_xlfn.IFS((F64&gt;=GlobalSettings!$C$6),"No Remediation Needed",(F64&lt;GlobalSettings!$C$6)*(OR((I64=("No")),(J64=("")))),"Not Started",(F64&lt;GlobalSettings!$C$6)*(I64="Yes")*(OR((J64=""),(J64="Not Started"))),"Planned",(F64&lt;GlobalSettings!$C$6)*(I64="Yes")*(J64="In Process"),"In Progress")</f>
        <v>Not Started</v>
      </c>
    </row>
    <row r="65" spans="1:11" x14ac:dyDescent="0.25">
      <c r="A65" s="190">
        <v>0</v>
      </c>
      <c r="B65" s="190">
        <v>2</v>
      </c>
      <c r="C65" s="195">
        <v>8.0500000000000007</v>
      </c>
      <c r="D65" s="196" t="s">
        <v>227</v>
      </c>
      <c r="E65" s="197">
        <f>'Control 08'!G86</f>
        <v>0</v>
      </c>
      <c r="F65" s="198">
        <f>VLOOKUP(C65,ScoringTables!$B$3:$I$155,8,FALSE)</f>
        <v>0</v>
      </c>
      <c r="G65" s="198" t="str">
        <f>VLOOKUP(C65,ScoringTables!$B$3:$I$155,6,FALSE)</f>
        <v>Medium</v>
      </c>
      <c r="I65" s="203" t="str">
        <f>IFERROR(IF(F65&lt;GlobalSettings!$C$6,IF(VLOOKUP(C65,POAM!$D$4:$M$156,9,FALSE)&lt;&gt;"","Yes","No"),""),"")</f>
        <v>No</v>
      </c>
      <c r="J65" s="204"/>
      <c r="K65" s="203" t="str" cm="1">
        <f t="array" ref="K65">_xlfn.IFS((F65&gt;=GlobalSettings!$C$6),"No Remediation Needed",(F65&lt;GlobalSettings!$C$6)*(OR((I65=("No")),(J65=("")))),"Not Started",(F65&lt;GlobalSettings!$C$6)*(I65="Yes")*(OR((J65=""),(J65="Not Started"))),"Planned",(F65&lt;GlobalSettings!$C$6)*(I65="Yes")*(J65="In Process"),"In Progress")</f>
        <v>Not Started</v>
      </c>
    </row>
    <row r="66" spans="1:11" x14ac:dyDescent="0.25">
      <c r="A66" s="190">
        <v>9</v>
      </c>
      <c r="B66" s="190">
        <v>2</v>
      </c>
      <c r="C66" s="195">
        <v>8.06</v>
      </c>
      <c r="D66" s="196" t="s">
        <v>228</v>
      </c>
      <c r="E66" s="197">
        <f>'Control 08'!G95</f>
        <v>0</v>
      </c>
      <c r="F66" s="198">
        <f>VLOOKUP(C66,ScoringTables!$B$3:$I$155,8,FALSE)</f>
        <v>0</v>
      </c>
      <c r="G66" s="198" t="str">
        <f>VLOOKUP(C66,ScoringTables!$B$3:$I$155,6,FALSE)</f>
        <v>Medium</v>
      </c>
      <c r="I66" s="203" t="str">
        <f>IFERROR(IF(F66&lt;GlobalSettings!$C$6,IF(VLOOKUP(C66,POAM!$D$4:$M$156,9,FALSE)&lt;&gt;"","Yes","No"),""),"")</f>
        <v>No</v>
      </c>
      <c r="J66" s="204"/>
      <c r="K66" s="203" t="str" cm="1">
        <f t="array" ref="K66">_xlfn.IFS((F66&gt;=GlobalSettings!$C$6),"No Remediation Needed",(F66&lt;GlobalSettings!$C$6)*(OR((I66=("No")),(J66=("")))),"Not Started",(F66&lt;GlobalSettings!$C$6)*(I66="Yes")*(OR((J66=""),(J66="Not Started"))),"Planned",(F66&lt;GlobalSettings!$C$6)*(I66="Yes")*(J66="In Process"),"In Progress")</f>
        <v>Not Started</v>
      </c>
    </row>
    <row r="67" spans="1:11" x14ac:dyDescent="0.25">
      <c r="A67" s="190">
        <v>9</v>
      </c>
      <c r="B67" s="190">
        <v>2</v>
      </c>
      <c r="C67" s="195">
        <v>8.07</v>
      </c>
      <c r="D67" s="196" t="s">
        <v>229</v>
      </c>
      <c r="E67" s="197">
        <f>'Control 08'!G104</f>
        <v>0</v>
      </c>
      <c r="F67" s="198">
        <f>VLOOKUP(C67,ScoringTables!$B$3:$I$155,8,FALSE)</f>
        <v>0</v>
      </c>
      <c r="G67" s="198" t="str">
        <f>VLOOKUP(C67,ScoringTables!$B$3:$I$155,6,FALSE)</f>
        <v>Medium</v>
      </c>
      <c r="I67" s="203" t="str">
        <f>IFERROR(IF(F67&lt;GlobalSettings!$C$6,IF(VLOOKUP(C67,POAM!$D$4:$M$156,9,FALSE)&lt;&gt;"","Yes","No"),""),"")</f>
        <v>No</v>
      </c>
      <c r="J67" s="204"/>
      <c r="K67" s="203" t="str" cm="1">
        <f t="array" ref="K67">_xlfn.IFS((F67&gt;=GlobalSettings!$C$6),"No Remediation Needed",(F67&lt;GlobalSettings!$C$6)*(OR((I67=("No")),(J67=("")))),"Not Started",(F67&lt;GlobalSettings!$C$6)*(I67="Yes")*(OR((J67=""),(J67="Not Started"))),"Planned",(F67&lt;GlobalSettings!$C$6)*(I67="Yes")*(J67="In Process"),"In Progress")</f>
        <v>Not Started</v>
      </c>
    </row>
    <row r="68" spans="1:11" x14ac:dyDescent="0.25">
      <c r="A68" s="190">
        <v>9</v>
      </c>
      <c r="B68" s="190">
        <v>2</v>
      </c>
      <c r="C68" s="195">
        <v>8.08</v>
      </c>
      <c r="D68" s="196" t="s">
        <v>230</v>
      </c>
      <c r="E68" s="197">
        <f>'Control 08'!G113</f>
        <v>0</v>
      </c>
      <c r="F68" s="198">
        <f>VLOOKUP(C68,ScoringTables!$B$3:$I$155,8,FALSE)</f>
        <v>0</v>
      </c>
      <c r="G68" s="198" t="str">
        <f>VLOOKUP(C68,ScoringTables!$B$3:$I$155,6,FALSE)</f>
        <v>Medium</v>
      </c>
      <c r="I68" s="203" t="str">
        <f>IFERROR(IF(F68&lt;GlobalSettings!$C$6,IF(VLOOKUP(C68,POAM!$D$4:$M$156,9,FALSE)&lt;&gt;"","Yes","No"),""),"")</f>
        <v>No</v>
      </c>
      <c r="J68" s="204"/>
      <c r="K68" s="203" t="str" cm="1">
        <f t="array" ref="K68">_xlfn.IFS((F68&gt;=GlobalSettings!$C$6),"No Remediation Needed",(F68&lt;GlobalSettings!$C$6)*(OR((I68=("No")),(J68=("")))),"Not Started",(F68&lt;GlobalSettings!$C$6)*(I68="Yes")*(OR((J68=""),(J68="Not Started"))),"Planned",(F68&lt;GlobalSettings!$C$6)*(I68="Yes")*(J68="In Process"),"In Progress")</f>
        <v>Not Started</v>
      </c>
    </row>
    <row r="69" spans="1:11" x14ac:dyDescent="0.25">
      <c r="A69" s="190">
        <v>0</v>
      </c>
      <c r="B69" s="190">
        <v>2</v>
      </c>
      <c r="C69" s="195">
        <v>8.09</v>
      </c>
      <c r="D69" s="196" t="s">
        <v>231</v>
      </c>
      <c r="E69" s="197">
        <f>'Control 08'!G122</f>
        <v>0</v>
      </c>
      <c r="F69" s="198">
        <f>VLOOKUP(C69,ScoringTables!$B$3:$I$155,8,FALSE)</f>
        <v>0</v>
      </c>
      <c r="G69" s="198" t="str">
        <f>VLOOKUP(C69,ScoringTables!$B$3:$I$155,6,FALSE)</f>
        <v>High</v>
      </c>
      <c r="I69" s="203" t="str">
        <f>IFERROR(IF(F69&lt;GlobalSettings!$C$6,IF(VLOOKUP(C69,POAM!$D$4:$M$156,9,FALSE)&lt;&gt;"","Yes","No"),""),"")</f>
        <v>No</v>
      </c>
      <c r="J69" s="204"/>
      <c r="K69" s="203" t="str" cm="1">
        <f t="array" ref="K69">_xlfn.IFS((F69&gt;=GlobalSettings!$C$6),"No Remediation Needed",(F69&lt;GlobalSettings!$C$6)*(OR((I69=("No")),(J69=("")))),"Not Started",(F69&lt;GlobalSettings!$C$6)*(I69="Yes")*(OR((J69=""),(J69="Not Started"))),"Planned",(F69&lt;GlobalSettings!$C$6)*(I69="Yes")*(J69="In Process"),"In Progress")</f>
        <v>Not Started</v>
      </c>
    </row>
    <row r="70" spans="1:11" x14ac:dyDescent="0.25">
      <c r="A70" s="190">
        <v>0</v>
      </c>
      <c r="B70" s="190">
        <v>2</v>
      </c>
      <c r="C70" s="195">
        <v>8.1</v>
      </c>
      <c r="D70" s="196" t="s">
        <v>232</v>
      </c>
      <c r="E70" s="197">
        <f>'Control 08'!G131</f>
        <v>0</v>
      </c>
      <c r="F70" s="198">
        <f>VLOOKUP(C70,ScoringTables!$B$3:$I$155,8,FALSE)</f>
        <v>0</v>
      </c>
      <c r="G70" s="198" t="str">
        <f>VLOOKUP(C70,ScoringTables!$B$3:$I$155,6,FALSE)</f>
        <v>High</v>
      </c>
      <c r="I70" s="203" t="str">
        <f>IFERROR(IF(F70&lt;GlobalSettings!$C$6,IF(VLOOKUP(C70,POAM!$D$4:$M$156,9,FALSE)&lt;&gt;"","Yes","No"),""),"")</f>
        <v>No</v>
      </c>
      <c r="J70" s="204"/>
      <c r="K70" s="203" t="str" cm="1">
        <f t="array" ref="K70">_xlfn.IFS((F70&gt;=GlobalSettings!$C$6),"No Remediation Needed",(F70&lt;GlobalSettings!$C$6)*(OR((I70=("No")),(J70=("")))),"Not Started",(F70&lt;GlobalSettings!$C$6)*(I70="Yes")*(OR((J70=""),(J70="Not Started"))),"Planned",(F70&lt;GlobalSettings!$C$6)*(I70="Yes")*(J70="In Process"),"In Progress")</f>
        <v>Not Started</v>
      </c>
    </row>
    <row r="71" spans="1:11" x14ac:dyDescent="0.25">
      <c r="A71" s="190">
        <v>0</v>
      </c>
      <c r="B71" s="190">
        <v>2</v>
      </c>
      <c r="C71" s="195">
        <v>8.11</v>
      </c>
      <c r="D71" s="196" t="s">
        <v>233</v>
      </c>
      <c r="E71" s="197">
        <f>'Control 08'!G139</f>
        <v>0</v>
      </c>
      <c r="F71" s="198">
        <f>VLOOKUP(C71,ScoringTables!$B$3:$I$155,8,FALSE)</f>
        <v>0</v>
      </c>
      <c r="G71" s="198" t="str">
        <f>VLOOKUP(C71,ScoringTables!$B$3:$I$155,6,FALSE)</f>
        <v>Medium</v>
      </c>
      <c r="I71" s="203" t="str">
        <f>IFERROR(IF(F71&lt;GlobalSettings!$C$6,IF(VLOOKUP(C71,POAM!$D$4:$M$156,9,FALSE)&lt;&gt;"","Yes","No"),""),"")</f>
        <v>No</v>
      </c>
      <c r="J71" s="204"/>
      <c r="K71" s="203" t="str" cm="1">
        <f t="array" ref="K71">_xlfn.IFS((F71&gt;=GlobalSettings!$C$6),"No Remediation Needed",(F71&lt;GlobalSettings!$C$6)*(OR((I71=("No")),(J71=("")))),"Not Started",(F71&lt;GlobalSettings!$C$6)*(I71="Yes")*(OR((J71=""),(J71="Not Started"))),"Planned",(F71&lt;GlobalSettings!$C$6)*(I71="Yes")*(J71="In Process"),"In Progress")</f>
        <v>Not Started</v>
      </c>
    </row>
    <row r="72" spans="1:11" x14ac:dyDescent="0.25">
      <c r="A72" s="190">
        <v>9</v>
      </c>
      <c r="B72" s="190">
        <v>3</v>
      </c>
      <c r="C72" s="195">
        <v>8.1199999999999992</v>
      </c>
      <c r="D72" s="196" t="s">
        <v>234</v>
      </c>
      <c r="E72" s="197">
        <f>'Control 08'!G148</f>
        <v>0</v>
      </c>
      <c r="F72" s="198">
        <f>VLOOKUP(C72,ScoringTables!$B$3:$I$155,8,FALSE)</f>
        <v>0</v>
      </c>
      <c r="G72" s="198" t="str">
        <f>VLOOKUP(C72,ScoringTables!$B$3:$I$155,6,FALSE)</f>
        <v>Medium</v>
      </c>
      <c r="I72" s="203" t="str">
        <f>IFERROR(IF(F72&lt;GlobalSettings!$C$6,IF(VLOOKUP(C72,POAM!$D$4:$M$156,9,FALSE)&lt;&gt;"","Yes","No"),""),"")</f>
        <v>No</v>
      </c>
      <c r="J72" s="204"/>
      <c r="K72" s="203" t="str" cm="1">
        <f t="array" ref="K72">_xlfn.IFS((F72&gt;=GlobalSettings!$C$6),"No Remediation Needed",(F72&lt;GlobalSettings!$C$6)*(OR((I72=("No")),(J72=("")))),"Not Started",(F72&lt;GlobalSettings!$C$6)*(I72="Yes")*(OR((J72=""),(J72="Not Started"))),"Planned",(F72&lt;GlobalSettings!$C$6)*(I72="Yes")*(J72="In Process"),"In Progress")</f>
        <v>Not Started</v>
      </c>
    </row>
    <row r="73" spans="1:11" ht="45" x14ac:dyDescent="0.25">
      <c r="A73" s="190">
        <v>0</v>
      </c>
      <c r="B73" s="190">
        <v>1</v>
      </c>
      <c r="C73" s="195">
        <v>9.01</v>
      </c>
      <c r="D73" s="196" t="s">
        <v>235</v>
      </c>
      <c r="E73" s="197">
        <f>'Control 09'!G16</f>
        <v>0</v>
      </c>
      <c r="F73" s="198">
        <f>VLOOKUP(C73,ScoringTables!$B$3:$I$155,8,FALSE)</f>
        <v>0</v>
      </c>
      <c r="G73" s="198" t="str">
        <f>VLOOKUP(C73,ScoringTables!$B$3:$I$155,6,FALSE)</f>
        <v>Medium</v>
      </c>
      <c r="I73" s="203" t="str">
        <f>IFERROR(IF(F73&lt;GlobalSettings!$C$6,IF(VLOOKUP(C73,POAM!$D$4:$M$156,9,FALSE)&lt;&gt;"","Yes","No"),""),"")</f>
        <v>No</v>
      </c>
      <c r="J73" s="204"/>
      <c r="K73" s="203" t="str" cm="1">
        <f t="array" ref="K73">_xlfn.IFS((F73&gt;=GlobalSettings!$C$6),"No Remediation Needed",(F73&lt;GlobalSettings!$C$6)*(OR((I73=("No")),(J73=("")))),"Not Started",(F73&lt;GlobalSettings!$C$6)*(I73="Yes")*(OR((J73=""),(J73="Not Started"))),"Planned",(F73&lt;GlobalSettings!$C$6)*(I73="Yes")*(J73="In Process"),"In Progress")</f>
        <v>Not Started</v>
      </c>
    </row>
    <row r="74" spans="1:11" x14ac:dyDescent="0.25">
      <c r="A74" s="190">
        <v>0</v>
      </c>
      <c r="B74" s="190">
        <v>1</v>
      </c>
      <c r="C74" s="195">
        <v>9.02</v>
      </c>
      <c r="D74" s="196" t="s">
        <v>236</v>
      </c>
      <c r="E74" s="197">
        <f>'Control 09'!G25</f>
        <v>0</v>
      </c>
      <c r="F74" s="198">
        <f>VLOOKUP(C74,ScoringTables!$B$3:$I$155,8,FALSE)</f>
        <v>0</v>
      </c>
      <c r="G74" s="198" t="str">
        <f>VLOOKUP(C74,ScoringTables!$B$3:$I$155,6,FALSE)</f>
        <v>Medium</v>
      </c>
      <c r="I74" s="203" t="str">
        <f>IFERROR(IF(F74&lt;GlobalSettings!$C$6,IF(VLOOKUP(C74,POAM!$D$4:$M$156,9,FALSE)&lt;&gt;"","Yes","No"),""),"")</f>
        <v>No</v>
      </c>
      <c r="J74" s="204"/>
      <c r="K74" s="203" t="str" cm="1">
        <f t="array" ref="K74">_xlfn.IFS((F74&gt;=GlobalSettings!$C$6),"No Remediation Needed",(F74&lt;GlobalSettings!$C$6)*(OR((I74=("No")),(J74=("")))),"Not Started",(F74&lt;GlobalSettings!$C$6)*(I74="Yes")*(OR((J74=""),(J74="Not Started"))),"Planned",(F74&lt;GlobalSettings!$C$6)*(I74="Yes")*(J74="In Process"),"In Progress")</f>
        <v>Not Started</v>
      </c>
    </row>
    <row r="75" spans="1:11" ht="30" x14ac:dyDescent="0.25">
      <c r="A75" s="190">
        <v>9</v>
      </c>
      <c r="B75" s="190">
        <v>2</v>
      </c>
      <c r="C75" s="195">
        <v>9.0299999999999994</v>
      </c>
      <c r="D75" s="196" t="s">
        <v>237</v>
      </c>
      <c r="E75" s="197">
        <f>'Control 09'!G34</f>
        <v>0</v>
      </c>
      <c r="F75" s="198">
        <f>VLOOKUP(C75,ScoringTables!$B$3:$I$155,8,FALSE)</f>
        <v>0</v>
      </c>
      <c r="G75" s="198" t="str">
        <f>VLOOKUP(C75,ScoringTables!$B$3:$I$155,6,FALSE)</f>
        <v>High</v>
      </c>
      <c r="I75" s="203" t="str">
        <f>IFERROR(IF(F75&lt;GlobalSettings!$C$6,IF(VLOOKUP(C75,POAM!$D$4:$M$156,9,FALSE)&lt;&gt;"","Yes","No"),""),"")</f>
        <v>No</v>
      </c>
      <c r="J75" s="204"/>
      <c r="K75" s="203" t="str" cm="1">
        <f t="array" ref="K75">_xlfn.IFS((F75&gt;=GlobalSettings!$C$6),"No Remediation Needed",(F75&lt;GlobalSettings!$C$6)*(OR((I75=("No")),(J75=("")))),"Not Started",(F75&lt;GlobalSettings!$C$6)*(I75="Yes")*(OR((J75=""),(J75="Not Started"))),"Planned",(F75&lt;GlobalSettings!$C$6)*(I75="Yes")*(J75="In Process"),"In Progress")</f>
        <v>Not Started</v>
      </c>
    </row>
    <row r="76" spans="1:11" ht="45" x14ac:dyDescent="0.25">
      <c r="A76" s="190">
        <v>9</v>
      </c>
      <c r="B76" s="190">
        <v>2</v>
      </c>
      <c r="C76" s="195">
        <v>9.0399999999999991</v>
      </c>
      <c r="D76" s="196" t="s">
        <v>238</v>
      </c>
      <c r="E76" s="197">
        <f>'Control 09'!G46</f>
        <v>0</v>
      </c>
      <c r="F76" s="198">
        <f>VLOOKUP(C76,ScoringTables!$B$3:$I$155,8,FALSE)</f>
        <v>0</v>
      </c>
      <c r="G76" s="198" t="str">
        <f>VLOOKUP(C76,ScoringTables!$B$3:$I$155,6,FALSE)</f>
        <v>Medium</v>
      </c>
      <c r="I76" s="203" t="str">
        <f>IFERROR(IF(F76&lt;GlobalSettings!$C$6,IF(VLOOKUP(C76,POAM!$D$4:$M$156,9,FALSE)&lt;&gt;"","Yes","No"),""),"")</f>
        <v>No</v>
      </c>
      <c r="J76" s="204"/>
      <c r="K76" s="203" t="str" cm="1">
        <f t="array" ref="K76">_xlfn.IFS((F76&gt;=GlobalSettings!$C$6),"No Remediation Needed",(F76&lt;GlobalSettings!$C$6)*(OR((I76=("No")),(J76=("")))),"Not Started",(F76&lt;GlobalSettings!$C$6)*(I76="Yes")*(OR((J76=""),(J76="Not Started"))),"Planned",(F76&lt;GlobalSettings!$C$6)*(I76="Yes")*(J76="In Process"),"In Progress")</f>
        <v>Not Started</v>
      </c>
    </row>
    <row r="77" spans="1:11" x14ac:dyDescent="0.25">
      <c r="A77" s="190">
        <v>9</v>
      </c>
      <c r="B77" s="190">
        <v>2</v>
      </c>
      <c r="C77" s="195">
        <v>9.0500000000000007</v>
      </c>
      <c r="D77" s="196" t="s">
        <v>239</v>
      </c>
      <c r="E77" s="197">
        <f>'Control 09'!G58</f>
        <v>0</v>
      </c>
      <c r="F77" s="198">
        <f>VLOOKUP(C77,ScoringTables!$B$3:$I$155,8,FALSE)</f>
        <v>0</v>
      </c>
      <c r="G77" s="198" t="str">
        <f>VLOOKUP(C77,ScoringTables!$B$3:$I$155,6,FALSE)</f>
        <v>Medium</v>
      </c>
      <c r="I77" s="203" t="str">
        <f>IFERROR(IF(F77&lt;GlobalSettings!$C$6,IF(VLOOKUP(C77,POAM!$D$4:$M$156,9,FALSE)&lt;&gt;"","Yes","No"),""),"")</f>
        <v>No</v>
      </c>
      <c r="J77" s="204"/>
      <c r="K77" s="203" t="str" cm="1">
        <f t="array" ref="K77">_xlfn.IFS((F77&gt;=GlobalSettings!$C$6),"No Remediation Needed",(F77&lt;GlobalSettings!$C$6)*(OR((I77=("No")),(J77=("")))),"Not Started",(F77&lt;GlobalSettings!$C$6)*(I77="Yes")*(OR((J77=""),(J77="Not Started"))),"Planned",(F77&lt;GlobalSettings!$C$6)*(I77="Yes")*(J77="In Process"),"In Progress")</f>
        <v>Not Started</v>
      </c>
    </row>
    <row r="78" spans="1:11" x14ac:dyDescent="0.25">
      <c r="A78" s="190">
        <v>9</v>
      </c>
      <c r="B78" s="190">
        <v>2</v>
      </c>
      <c r="C78" s="195">
        <v>9.06</v>
      </c>
      <c r="D78" s="196" t="s">
        <v>240</v>
      </c>
      <c r="E78" s="197">
        <f>'Control 09'!G67</f>
        <v>0</v>
      </c>
      <c r="F78" s="198">
        <f>VLOOKUP(C78,ScoringTables!$B$3:$I$155,8,FALSE)</f>
        <v>0</v>
      </c>
      <c r="G78" s="198" t="str">
        <f>VLOOKUP(C78,ScoringTables!$B$3:$I$155,6,FALSE)</f>
        <v>High</v>
      </c>
      <c r="I78" s="203" t="str">
        <f>IFERROR(IF(F78&lt;GlobalSettings!$C$6,IF(VLOOKUP(C78,POAM!$D$4:$M$156,9,FALSE)&lt;&gt;"","Yes","No"),""),"")</f>
        <v>No</v>
      </c>
      <c r="J78" s="204"/>
      <c r="K78" s="203" t="str" cm="1">
        <f t="array" ref="K78">_xlfn.IFS((F78&gt;=GlobalSettings!$C$6),"No Remediation Needed",(F78&lt;GlobalSettings!$C$6)*(OR((I78=("No")),(J78=("")))),"Not Started",(F78&lt;GlobalSettings!$C$6)*(I78="Yes")*(OR((J78=""),(J78="Not Started"))),"Planned",(F78&lt;GlobalSettings!$C$6)*(I78="Yes")*(J78="In Process"),"In Progress")</f>
        <v>Not Started</v>
      </c>
    </row>
    <row r="79" spans="1:11" ht="30" x14ac:dyDescent="0.25">
      <c r="A79" s="190">
        <v>9</v>
      </c>
      <c r="B79" s="190">
        <v>3</v>
      </c>
      <c r="C79" s="195">
        <v>9.07</v>
      </c>
      <c r="D79" s="196" t="s">
        <v>241</v>
      </c>
      <c r="E79" s="197">
        <f>'Control 09'!G76</f>
        <v>0</v>
      </c>
      <c r="F79" s="198">
        <f>VLOOKUP(C79,ScoringTables!$B$3:$I$155,8,FALSE)</f>
        <v>0</v>
      </c>
      <c r="G79" s="198" t="str">
        <f>VLOOKUP(C79,ScoringTables!$B$3:$I$155,6,FALSE)</f>
        <v>High</v>
      </c>
      <c r="I79" s="203" t="str">
        <f>IFERROR(IF(F79&lt;GlobalSettings!$C$6,IF(VLOOKUP(C79,POAM!$D$4:$M$156,9,FALSE)&lt;&gt;"","Yes","No"),""),"")</f>
        <v>No</v>
      </c>
      <c r="J79" s="204"/>
      <c r="K79" s="203" t="str" cm="1">
        <f t="array" ref="K79">_xlfn.IFS((F79&gt;=GlobalSettings!$C$6),"No Remediation Needed",(F79&lt;GlobalSettings!$C$6)*(OR((I79=("No")),(J79=("")))),"Not Started",(F79&lt;GlobalSettings!$C$6)*(I79="Yes")*(OR((J79=""),(J79="Not Started"))),"Planned",(F79&lt;GlobalSettings!$C$6)*(I79="Yes")*(J79="In Process"),"In Progress")</f>
        <v>Not Started</v>
      </c>
    </row>
    <row r="80" spans="1:11" ht="30" x14ac:dyDescent="0.25">
      <c r="A80" s="190">
        <v>0</v>
      </c>
      <c r="B80" s="190">
        <v>1</v>
      </c>
      <c r="C80" s="195">
        <v>10.01</v>
      </c>
      <c r="D80" s="196" t="s">
        <v>242</v>
      </c>
      <c r="E80" s="197">
        <f>'Control 10'!G14</f>
        <v>0</v>
      </c>
      <c r="F80" s="198">
        <f>VLOOKUP(C80,ScoringTables!$B$3:$I$155,8,FALSE)</f>
        <v>0</v>
      </c>
      <c r="G80" s="198" t="str">
        <f>VLOOKUP(C80,ScoringTables!$B$3:$I$155,6,FALSE)</f>
        <v>High</v>
      </c>
      <c r="I80" s="203" t="str">
        <f>IFERROR(IF(F80&lt;GlobalSettings!$C$6,IF(VLOOKUP(C80,POAM!$D$4:$M$156,9,FALSE)&lt;&gt;"","Yes","No"),""),"")</f>
        <v>No</v>
      </c>
      <c r="J80" s="204"/>
      <c r="K80" s="203" t="str" cm="1">
        <f t="array" ref="K80">_xlfn.IFS((F80&gt;=GlobalSettings!$C$6),"No Remediation Needed",(F80&lt;GlobalSettings!$C$6)*(OR((I80=("No")),(J80=("")))),"Not Started",(F80&lt;GlobalSettings!$C$6)*(I80="Yes")*(OR((J80=""),(J80="Not Started"))),"Planned",(F80&lt;GlobalSettings!$C$6)*(I80="Yes")*(J80="In Process"),"In Progress")</f>
        <v>Not Started</v>
      </c>
    </row>
    <row r="81" spans="1:11" ht="30" x14ac:dyDescent="0.25">
      <c r="A81" s="190">
        <v>0</v>
      </c>
      <c r="B81" s="190">
        <v>1</v>
      </c>
      <c r="C81" s="195">
        <v>10.02</v>
      </c>
      <c r="D81" s="196" t="s">
        <v>243</v>
      </c>
      <c r="E81" s="197">
        <f>'Control 10'!G23</f>
        <v>0</v>
      </c>
      <c r="F81" s="198">
        <f>VLOOKUP(C81,ScoringTables!$B$3:$I$155,8,FALSE)</f>
        <v>0</v>
      </c>
      <c r="G81" s="198" t="str">
        <f>VLOOKUP(C81,ScoringTables!$B$3:$I$155,6,FALSE)</f>
        <v>High</v>
      </c>
      <c r="I81" s="203" t="str">
        <f>IFERROR(IF(F81&lt;GlobalSettings!$C$6,IF(VLOOKUP(C81,POAM!$D$4:$M$156,9,FALSE)&lt;&gt;"","Yes","No"),""),"")</f>
        <v>No</v>
      </c>
      <c r="J81" s="204"/>
      <c r="K81" s="203" t="str" cm="1">
        <f t="array" ref="K81">_xlfn.IFS((F81&gt;=GlobalSettings!$C$6),"No Remediation Needed",(F81&lt;GlobalSettings!$C$6)*(OR((I81=("No")),(J81=("")))),"Not Started",(F81&lt;GlobalSettings!$C$6)*(I81="Yes")*(OR((J81=""),(J81="Not Started"))),"Planned",(F81&lt;GlobalSettings!$C$6)*(I81="Yes")*(J81="In Process"),"In Progress")</f>
        <v>Not Started</v>
      </c>
    </row>
    <row r="82" spans="1:11" ht="30" x14ac:dyDescent="0.25">
      <c r="A82" s="190">
        <v>0</v>
      </c>
      <c r="B82" s="190">
        <v>1</v>
      </c>
      <c r="C82" s="195">
        <v>10.029999999999999</v>
      </c>
      <c r="D82" s="196" t="s">
        <v>244</v>
      </c>
      <c r="E82" s="197">
        <f>'Control 10'!G35</f>
        <v>0</v>
      </c>
      <c r="F82" s="198">
        <f>VLOOKUP(C82,ScoringTables!$B$3:$I$155,8,FALSE)</f>
        <v>0</v>
      </c>
      <c r="G82" s="198" t="str">
        <f>VLOOKUP(C82,ScoringTables!$B$3:$I$155,6,FALSE)</f>
        <v>Medium</v>
      </c>
      <c r="I82" s="203" t="str">
        <f>IFERROR(IF(F82&lt;GlobalSettings!$C$6,IF(VLOOKUP(C82,POAM!$D$4:$M$156,9,FALSE)&lt;&gt;"","Yes","No"),""),"")</f>
        <v>No</v>
      </c>
      <c r="J82" s="204"/>
      <c r="K82" s="203" t="str" cm="1">
        <f t="array" ref="K82">_xlfn.IFS((F82&gt;=GlobalSettings!$C$6),"No Remediation Needed",(F82&lt;GlobalSettings!$C$6)*(OR((I82=("No")),(J82=("")))),"Not Started",(F82&lt;GlobalSettings!$C$6)*(I82="Yes")*(OR((J82=""),(J82="Not Started"))),"Planned",(F82&lt;GlobalSettings!$C$6)*(I82="Yes")*(J82="In Process"),"In Progress")</f>
        <v>Not Started</v>
      </c>
    </row>
    <row r="83" spans="1:11" ht="45" x14ac:dyDescent="0.25">
      <c r="A83" s="190">
        <v>9</v>
      </c>
      <c r="B83" s="190">
        <v>2</v>
      </c>
      <c r="C83" s="195">
        <v>10.039999999999999</v>
      </c>
      <c r="D83" s="196" t="s">
        <v>245</v>
      </c>
      <c r="E83" s="197">
        <f>'Control 10'!G44</f>
        <v>0</v>
      </c>
      <c r="F83" s="198">
        <f>VLOOKUP(C83,ScoringTables!$B$3:$I$155,8,FALSE)</f>
        <v>0</v>
      </c>
      <c r="G83" s="198" t="str">
        <f>VLOOKUP(C83,ScoringTables!$B$3:$I$155,6,FALSE)</f>
        <v>Medium</v>
      </c>
      <c r="I83" s="203" t="str">
        <f>IFERROR(IF(F83&lt;GlobalSettings!$C$6,IF(VLOOKUP(C83,POAM!$D$4:$M$156,9,FALSE)&lt;&gt;"","Yes","No"),""),"")</f>
        <v>No</v>
      </c>
      <c r="J83" s="204"/>
      <c r="K83" s="203" t="str" cm="1">
        <f t="array" ref="K83">_xlfn.IFS((F83&gt;=GlobalSettings!$C$6),"No Remediation Needed",(F83&lt;GlobalSettings!$C$6)*(OR((I83=("No")),(J83=("")))),"Not Started",(F83&lt;GlobalSettings!$C$6)*(I83="Yes")*(OR((J83=""),(J83="Not Started"))),"Planned",(F83&lt;GlobalSettings!$C$6)*(I83="Yes")*(J83="In Process"),"In Progress")</f>
        <v>Not Started</v>
      </c>
    </row>
    <row r="84" spans="1:11" x14ac:dyDescent="0.25">
      <c r="A84" s="190">
        <v>9</v>
      </c>
      <c r="B84" s="190">
        <v>2</v>
      </c>
      <c r="C84" s="195">
        <v>10.050000000000001</v>
      </c>
      <c r="D84" s="196" t="s">
        <v>246</v>
      </c>
      <c r="E84" s="197">
        <f>'Control 10'!G53</f>
        <v>0</v>
      </c>
      <c r="F84" s="198">
        <f>VLOOKUP(C84,ScoringTables!$B$3:$I$155,8,FALSE)</f>
        <v>0</v>
      </c>
      <c r="G84" s="198" t="str">
        <f>VLOOKUP(C84,ScoringTables!$B$3:$I$155,6,FALSE)</f>
        <v>Medium</v>
      </c>
      <c r="I84" s="203" t="str">
        <f>IFERROR(IF(F84&lt;GlobalSettings!$C$6,IF(VLOOKUP(C84,POAM!$D$4:$M$156,9,FALSE)&lt;&gt;"","Yes","No"),""),"")</f>
        <v>No</v>
      </c>
      <c r="J84" s="204"/>
      <c r="K84" s="203" t="str" cm="1">
        <f t="array" ref="K84">_xlfn.IFS((F84&gt;=GlobalSettings!$C$6),"No Remediation Needed",(F84&lt;GlobalSettings!$C$6)*(OR((I84=("No")),(J84=("")))),"Not Started",(F84&lt;GlobalSettings!$C$6)*(I84="Yes")*(OR((J84=""),(J84="Not Started"))),"Planned",(F84&lt;GlobalSettings!$C$6)*(I84="Yes")*(J84="In Process"),"In Progress")</f>
        <v>Not Started</v>
      </c>
    </row>
    <row r="85" spans="1:11" ht="30" x14ac:dyDescent="0.25">
      <c r="A85" s="190">
        <v>9</v>
      </c>
      <c r="B85" s="190">
        <v>2</v>
      </c>
      <c r="C85" s="195">
        <v>10.06</v>
      </c>
      <c r="D85" s="196" t="s">
        <v>247</v>
      </c>
      <c r="E85" s="197">
        <f>'Control 10'!G62</f>
        <v>0</v>
      </c>
      <c r="F85" s="198">
        <f>VLOOKUP(C85,ScoringTables!$B$3:$I$155,8,FALSE)</f>
        <v>0</v>
      </c>
      <c r="G85" s="198" t="str">
        <f>VLOOKUP(C85,ScoringTables!$B$3:$I$155,6,FALSE)</f>
        <v>Medium</v>
      </c>
      <c r="I85" s="203" t="str">
        <f>IFERROR(IF(F85&lt;GlobalSettings!$C$6,IF(VLOOKUP(C85,POAM!$D$4:$M$156,9,FALSE)&lt;&gt;"","Yes","No"),""),"")</f>
        <v>No</v>
      </c>
      <c r="J85" s="204"/>
      <c r="K85" s="203" t="str" cm="1">
        <f t="array" ref="K85">_xlfn.IFS((F85&gt;=GlobalSettings!$C$6),"No Remediation Needed",(F85&lt;GlobalSettings!$C$6)*(OR((I85=("No")),(J85=("")))),"Not Started",(F85&lt;GlobalSettings!$C$6)*(I85="Yes")*(OR((J85=""),(J85="Not Started"))),"Planned",(F85&lt;GlobalSettings!$C$6)*(I85="Yes")*(J85="In Process"),"In Progress")</f>
        <v>Not Started</v>
      </c>
    </row>
    <row r="86" spans="1:11" ht="30" x14ac:dyDescent="0.25">
      <c r="A86" s="190">
        <v>9</v>
      </c>
      <c r="B86" s="190">
        <v>2</v>
      </c>
      <c r="C86" s="195">
        <v>10.07</v>
      </c>
      <c r="D86" s="196" t="s">
        <v>248</v>
      </c>
      <c r="E86" s="197">
        <f>'Control 10'!G73</f>
        <v>0</v>
      </c>
      <c r="F86" s="198">
        <f>VLOOKUP(C86,ScoringTables!$B$3:$I$155,8,FALSE)</f>
        <v>0</v>
      </c>
      <c r="G86" s="198" t="str">
        <f>VLOOKUP(C86,ScoringTables!$B$3:$I$155,6,FALSE)</f>
        <v>High</v>
      </c>
      <c r="I86" s="203" t="str">
        <f>IFERROR(IF(F86&lt;GlobalSettings!$C$6,IF(VLOOKUP(C86,POAM!$D$4:$M$156,9,FALSE)&lt;&gt;"","Yes","No"),""),"")</f>
        <v>No</v>
      </c>
      <c r="J86" s="204"/>
      <c r="K86" s="203" t="str" cm="1">
        <f t="array" ref="K86">_xlfn.IFS((F86&gt;=GlobalSettings!$C$6),"No Remediation Needed",(F86&lt;GlobalSettings!$C$6)*(OR((I86=("No")),(J86=("")))),"Not Started",(F86&lt;GlobalSettings!$C$6)*(I86="Yes")*(OR((J86=""),(J86="Not Started"))),"Planned",(F86&lt;GlobalSettings!$C$6)*(I86="Yes")*(J86="In Process"),"In Progress")</f>
        <v>Not Started</v>
      </c>
    </row>
    <row r="87" spans="1:11" ht="30" x14ac:dyDescent="0.25">
      <c r="A87" s="190">
        <v>0</v>
      </c>
      <c r="B87" s="190">
        <v>1</v>
      </c>
      <c r="C87" s="195">
        <v>11.01</v>
      </c>
      <c r="D87" s="196" t="s">
        <v>249</v>
      </c>
      <c r="E87" s="197">
        <f>'Control 11'!G14</f>
        <v>0</v>
      </c>
      <c r="F87" s="198">
        <f>VLOOKUP(C87,ScoringTables!$B$3:$I$155,8,FALSE)</f>
        <v>0</v>
      </c>
      <c r="G87" s="198" t="str">
        <f>VLOOKUP(C87,ScoringTables!$B$3:$I$155,6,FALSE)</f>
        <v>Medium</v>
      </c>
      <c r="I87" s="203" t="str">
        <f>IFERROR(IF(F87&lt;GlobalSettings!$C$6,IF(VLOOKUP(C87,POAM!$D$4:$M$156,9,FALSE)&lt;&gt;"","Yes","No"),""),"")</f>
        <v>No</v>
      </c>
      <c r="J87" s="204"/>
      <c r="K87" s="203" t="str" cm="1">
        <f t="array" ref="K87">_xlfn.IFS((F87&gt;=GlobalSettings!$C$6),"No Remediation Needed",(F87&lt;GlobalSettings!$C$6)*(OR((I87=("No")),(J87=("")))),"Not Started",(F87&lt;GlobalSettings!$C$6)*(I87="Yes")*(OR((J87=""),(J87="Not Started"))),"Planned",(F87&lt;GlobalSettings!$C$6)*(I87="Yes")*(J87="In Process"),"In Progress")</f>
        <v>Not Started</v>
      </c>
    </row>
    <row r="88" spans="1:11" x14ac:dyDescent="0.25">
      <c r="A88" s="190">
        <v>0</v>
      </c>
      <c r="B88" s="190">
        <v>1</v>
      </c>
      <c r="C88" s="195">
        <v>11.02</v>
      </c>
      <c r="D88" s="196" t="s">
        <v>250</v>
      </c>
      <c r="E88" s="197">
        <f>'Control 11'!G28</f>
        <v>0</v>
      </c>
      <c r="F88" s="198">
        <f>VLOOKUP(C88,ScoringTables!$B$3:$I$155,8,FALSE)</f>
        <v>0</v>
      </c>
      <c r="G88" s="198" t="str">
        <f>VLOOKUP(C88,ScoringTables!$B$3:$I$155,6,FALSE)</f>
        <v>Medium</v>
      </c>
      <c r="I88" s="203" t="str">
        <f>IFERROR(IF(F88&lt;GlobalSettings!$C$6,IF(VLOOKUP(C88,POAM!$D$4:$M$156,9,FALSE)&lt;&gt;"","Yes","No"),""),"")</f>
        <v>No</v>
      </c>
      <c r="J88" s="204"/>
      <c r="K88" s="203" t="str" cm="1">
        <f t="array" ref="K88">_xlfn.IFS((F88&gt;=GlobalSettings!$C$6),"No Remediation Needed",(F88&lt;GlobalSettings!$C$6)*(OR((I88=("No")),(J88=("")))),"Not Started",(F88&lt;GlobalSettings!$C$6)*(I88="Yes")*(OR((J88=""),(J88="Not Started"))),"Planned",(F88&lt;GlobalSettings!$C$6)*(I88="Yes")*(J88="In Process"),"In Progress")</f>
        <v>Not Started</v>
      </c>
    </row>
    <row r="89" spans="1:11" x14ac:dyDescent="0.25">
      <c r="A89" s="190">
        <v>0</v>
      </c>
      <c r="B89" s="190">
        <v>1</v>
      </c>
      <c r="C89" s="195">
        <v>11.03</v>
      </c>
      <c r="D89" s="196" t="s">
        <v>251</v>
      </c>
      <c r="E89" s="197">
        <f>'Control 11'!G37</f>
        <v>0</v>
      </c>
      <c r="F89" s="198">
        <f>VLOOKUP(C89,ScoringTables!$B$3:$I$155,8,FALSE)</f>
        <v>0</v>
      </c>
      <c r="G89" s="198" t="str">
        <f>VLOOKUP(C89,ScoringTables!$B$3:$I$155,6,FALSE)</f>
        <v>High</v>
      </c>
      <c r="I89" s="203" t="str">
        <f>IFERROR(IF(F89&lt;GlobalSettings!$C$6,IF(VLOOKUP(C89,POAM!$D$4:$M$156,9,FALSE)&lt;&gt;"","Yes","No"),""),"")</f>
        <v>No</v>
      </c>
      <c r="J89" s="204"/>
      <c r="K89" s="203" t="str" cm="1">
        <f t="array" ref="K89">_xlfn.IFS((F89&gt;=GlobalSettings!$C$6),"No Remediation Needed",(F89&lt;GlobalSettings!$C$6)*(OR((I89=("No")),(J89=("")))),"Not Started",(F89&lt;GlobalSettings!$C$6)*(I89="Yes")*(OR((J89=""),(J89="Not Started"))),"Planned",(F89&lt;GlobalSettings!$C$6)*(I89="Yes")*(J89="In Process"),"In Progress")</f>
        <v>Not Started</v>
      </c>
    </row>
    <row r="90" spans="1:11" ht="30" x14ac:dyDescent="0.25">
      <c r="A90" s="190">
        <v>0</v>
      </c>
      <c r="B90" s="190">
        <v>1</v>
      </c>
      <c r="C90" s="195">
        <v>11.04</v>
      </c>
      <c r="D90" s="196" t="s">
        <v>252</v>
      </c>
      <c r="E90" s="197">
        <f>'Control 11'!G46</f>
        <v>0</v>
      </c>
      <c r="F90" s="198">
        <f>VLOOKUP(C90,ScoringTables!$B$3:$I$155,8,FALSE)</f>
        <v>0</v>
      </c>
      <c r="G90" s="198" t="str">
        <f>VLOOKUP(C90,ScoringTables!$B$3:$I$155,6,FALSE)</f>
        <v>High</v>
      </c>
      <c r="I90" s="203" t="str">
        <f>IFERROR(IF(F90&lt;GlobalSettings!$C$6,IF(VLOOKUP(C90,POAM!$D$4:$M$156,9,FALSE)&lt;&gt;"","Yes","No"),""),"")</f>
        <v>No</v>
      </c>
      <c r="J90" s="204"/>
      <c r="K90" s="203" t="str" cm="1">
        <f t="array" ref="K90">_xlfn.IFS((F90&gt;=GlobalSettings!$C$6),"No Remediation Needed",(F90&lt;GlobalSettings!$C$6)*(OR((I90=("No")),(J90=("")))),"Not Started",(F90&lt;GlobalSettings!$C$6)*(I90="Yes")*(OR((J90=""),(J90="Not Started"))),"Planned",(F90&lt;GlobalSettings!$C$6)*(I90="Yes")*(J90="In Process"),"In Progress")</f>
        <v>Not Started</v>
      </c>
    </row>
    <row r="91" spans="1:11" x14ac:dyDescent="0.25">
      <c r="A91" s="190">
        <v>9</v>
      </c>
      <c r="B91" s="190">
        <v>2</v>
      </c>
      <c r="C91" s="195">
        <v>11.05</v>
      </c>
      <c r="D91" s="196" t="s">
        <v>253</v>
      </c>
      <c r="E91" s="197">
        <f>'Control 11'!G56</f>
        <v>0</v>
      </c>
      <c r="F91" s="198">
        <f>VLOOKUP(C91,ScoringTables!$B$3:$I$155,8,FALSE)</f>
        <v>0</v>
      </c>
      <c r="G91" s="198" t="str">
        <f>VLOOKUP(C91,ScoringTables!$B$3:$I$155,6,FALSE)</f>
        <v>Medium</v>
      </c>
      <c r="I91" s="203" t="str">
        <f>IFERROR(IF(F91&lt;GlobalSettings!$C$6,IF(VLOOKUP(C91,POAM!$D$4:$M$156,9,FALSE)&lt;&gt;"","Yes","No"),""),"")</f>
        <v>No</v>
      </c>
      <c r="J91" s="204"/>
      <c r="K91" s="203" t="str" cm="1">
        <f t="array" ref="K91">_xlfn.IFS((F91&gt;=GlobalSettings!$C$6),"No Remediation Needed",(F91&lt;GlobalSettings!$C$6)*(OR((I91=("No")),(J91=("")))),"Not Started",(F91&lt;GlobalSettings!$C$6)*(I91="Yes")*(OR((J91=""),(J91="Not Started"))),"Planned",(F91&lt;GlobalSettings!$C$6)*(I91="Yes")*(J91="In Process"),"In Progress")</f>
        <v>Not Started</v>
      </c>
    </row>
    <row r="92" spans="1:11" ht="30" x14ac:dyDescent="0.25">
      <c r="A92" s="190">
        <v>9</v>
      </c>
      <c r="B92" s="190">
        <v>1</v>
      </c>
      <c r="C92" s="195">
        <v>12.01</v>
      </c>
      <c r="D92" s="196" t="s">
        <v>254</v>
      </c>
      <c r="E92" s="197">
        <f>'Control 12'!G12</f>
        <v>0</v>
      </c>
      <c r="F92" s="198">
        <f>VLOOKUP(C92,ScoringTables!$B$3:$I$155,8,FALSE)</f>
        <v>0</v>
      </c>
      <c r="G92" s="198" t="str">
        <f>VLOOKUP(C92,ScoringTables!$B$3:$I$155,6,FALSE)</f>
        <v>Medium</v>
      </c>
      <c r="I92" s="203" t="str">
        <f>IFERROR(IF(F92&lt;GlobalSettings!$C$6,IF(VLOOKUP(C92,POAM!$D$4:$M$156,9,FALSE)&lt;&gt;"","Yes","No"),""),"")</f>
        <v>No</v>
      </c>
      <c r="J92" s="204"/>
      <c r="K92" s="203" t="str" cm="1">
        <f t="array" ref="K92">_xlfn.IFS((F92&gt;=GlobalSettings!$C$6),"No Remediation Needed",(F92&lt;GlobalSettings!$C$6)*(OR((I92=("No")),(J92=("")))),"Not Started",(F92&lt;GlobalSettings!$C$6)*(I92="Yes")*(OR((J92=""),(J92="Not Started"))),"Planned",(F92&lt;GlobalSettings!$C$6)*(I92="Yes")*(J92="In Process"),"In Progress")</f>
        <v>Not Started</v>
      </c>
    </row>
    <row r="93" spans="1:11" ht="30" x14ac:dyDescent="0.25">
      <c r="A93" s="190">
        <v>9</v>
      </c>
      <c r="B93" s="190">
        <v>2</v>
      </c>
      <c r="C93" s="195">
        <v>12.02</v>
      </c>
      <c r="D93" s="196" t="s">
        <v>255</v>
      </c>
      <c r="E93" s="197">
        <f>'Control 12'!G25</f>
        <v>0</v>
      </c>
      <c r="F93" s="198">
        <f>VLOOKUP(C93,ScoringTables!$B$3:$I$155,8,FALSE)</f>
        <v>0</v>
      </c>
      <c r="G93" s="198" t="str">
        <f>VLOOKUP(C93,ScoringTables!$B$3:$I$155,6,FALSE)</f>
        <v>High</v>
      </c>
      <c r="I93" s="203" t="str">
        <f>IFERROR(IF(F93&lt;GlobalSettings!$C$6,IF(VLOOKUP(C93,POAM!$D$4:$M$156,9,FALSE)&lt;&gt;"","Yes","No"),""),"")</f>
        <v>No</v>
      </c>
      <c r="J93" s="204"/>
      <c r="K93" s="203" t="str" cm="1">
        <f t="array" ref="K93">_xlfn.IFS((F93&gt;=GlobalSettings!$C$6),"No Remediation Needed",(F93&lt;GlobalSettings!$C$6)*(OR((I93=("No")),(J93=("")))),"Not Started",(F93&lt;GlobalSettings!$C$6)*(I93="Yes")*(OR((J93=""),(J93="Not Started"))),"Planned",(F93&lt;GlobalSettings!$C$6)*(I93="Yes")*(J93="In Process"),"In Progress")</f>
        <v>Not Started</v>
      </c>
    </row>
    <row r="94" spans="1:11" ht="30" x14ac:dyDescent="0.25">
      <c r="A94" s="190">
        <v>9</v>
      </c>
      <c r="B94" s="190">
        <v>2</v>
      </c>
      <c r="C94" s="195">
        <v>12.03</v>
      </c>
      <c r="D94" s="196" t="s">
        <v>256</v>
      </c>
      <c r="E94" s="197">
        <f>'Control 12'!G40</f>
        <v>0</v>
      </c>
      <c r="F94" s="198">
        <f>VLOOKUP(C94,ScoringTables!$B$3:$I$155,8,FALSE)</f>
        <v>0</v>
      </c>
      <c r="G94" s="198" t="str">
        <f>VLOOKUP(C94,ScoringTables!$B$3:$I$155,6,FALSE)</f>
        <v>Medium</v>
      </c>
      <c r="I94" s="203" t="str">
        <f>IFERROR(IF(F94&lt;GlobalSettings!$C$6,IF(VLOOKUP(C94,POAM!$D$4:$M$156,9,FALSE)&lt;&gt;"","Yes","No"),""),"")</f>
        <v>No</v>
      </c>
      <c r="J94" s="204"/>
      <c r="K94" s="203" t="str" cm="1">
        <f t="array" ref="K94">_xlfn.IFS((F94&gt;=GlobalSettings!$C$6),"No Remediation Needed",(F94&lt;GlobalSettings!$C$6)*(OR((I94=("No")),(J94=("")))),"Not Started",(F94&lt;GlobalSettings!$C$6)*(I94="Yes")*(OR((J94=""),(J94="Not Started"))),"Planned",(F94&lt;GlobalSettings!$C$6)*(I94="Yes")*(J94="In Process"),"In Progress")</f>
        <v>Not Started</v>
      </c>
    </row>
    <row r="95" spans="1:11" ht="30" x14ac:dyDescent="0.25">
      <c r="A95" s="190">
        <v>9</v>
      </c>
      <c r="B95" s="190">
        <v>2</v>
      </c>
      <c r="C95" s="195">
        <v>12.04</v>
      </c>
      <c r="D95" s="196" t="s">
        <v>257</v>
      </c>
      <c r="E95" s="197">
        <f>'Control 12'!G47</f>
        <v>0</v>
      </c>
      <c r="F95" s="198">
        <f>VLOOKUP(C95,ScoringTables!$B$3:$I$155,8,FALSE)</f>
        <v>0</v>
      </c>
      <c r="G95" s="198" t="str">
        <f>VLOOKUP(C95,ScoringTables!$B$3:$I$155,6,FALSE)</f>
        <v>High</v>
      </c>
      <c r="I95" s="203" t="str">
        <f>IFERROR(IF(F95&lt;GlobalSettings!$C$6,IF(VLOOKUP(C95,POAM!$D$4:$M$156,9,FALSE)&lt;&gt;"","Yes","No"),""),"")</f>
        <v>No</v>
      </c>
      <c r="J95" s="204"/>
      <c r="K95" s="203" t="str" cm="1">
        <f t="array" ref="K95">_xlfn.IFS((F95&gt;=GlobalSettings!$C$6),"No Remediation Needed",(F95&lt;GlobalSettings!$C$6)*(OR((I95=("No")),(J95=("")))),"Not Started",(F95&lt;GlobalSettings!$C$6)*(I95="Yes")*(OR((J95=""),(J95="Not Started"))),"Planned",(F95&lt;GlobalSettings!$C$6)*(I95="Yes")*(J95="In Process"),"In Progress")</f>
        <v>Not Started</v>
      </c>
    </row>
    <row r="96" spans="1:11" ht="45" x14ac:dyDescent="0.25">
      <c r="A96" s="190">
        <v>9</v>
      </c>
      <c r="B96" s="190">
        <v>2</v>
      </c>
      <c r="C96" s="195">
        <v>12.05</v>
      </c>
      <c r="D96" s="196" t="s">
        <v>258</v>
      </c>
      <c r="E96" s="197">
        <f>'Control 12'!G60</f>
        <v>0</v>
      </c>
      <c r="F96" s="198">
        <f>VLOOKUP(C96,ScoringTables!$B$3:$I$155,8,FALSE)</f>
        <v>0</v>
      </c>
      <c r="G96" s="198" t="str">
        <f>VLOOKUP(C96,ScoringTables!$B$3:$I$155,6,FALSE)</f>
        <v>High</v>
      </c>
      <c r="I96" s="203" t="str">
        <f>IFERROR(IF(F96&lt;GlobalSettings!$C$6,IF(VLOOKUP(C96,POAM!$D$4:$M$156,9,FALSE)&lt;&gt;"","Yes","No"),""),"")</f>
        <v>No</v>
      </c>
      <c r="J96" s="204"/>
      <c r="K96" s="203" t="str" cm="1">
        <f t="array" ref="K96">_xlfn.IFS((F96&gt;=GlobalSettings!$C$6),"No Remediation Needed",(F96&lt;GlobalSettings!$C$6)*(OR((I96=("No")),(J96=("")))),"Not Started",(F96&lt;GlobalSettings!$C$6)*(I96="Yes")*(OR((J96=""),(J96="Not Started"))),"Planned",(F96&lt;GlobalSettings!$C$6)*(I96="Yes")*(J96="In Process"),"In Progress")</f>
        <v>Not Started</v>
      </c>
    </row>
    <row r="97" spans="1:11" ht="45" x14ac:dyDescent="0.25">
      <c r="A97" s="190">
        <v>9</v>
      </c>
      <c r="B97" s="190">
        <v>2</v>
      </c>
      <c r="C97" s="195">
        <v>12.06</v>
      </c>
      <c r="D97" s="196" t="s">
        <v>259</v>
      </c>
      <c r="E97" s="197">
        <f>'Control 12'!G76</f>
        <v>0</v>
      </c>
      <c r="F97" s="198">
        <f>VLOOKUP(C97,ScoringTables!$B$3:$I$155,8,FALSE)</f>
        <v>0</v>
      </c>
      <c r="G97" s="198" t="str">
        <f>VLOOKUP(C97,ScoringTables!$B$3:$I$155,6,FALSE)</f>
        <v>Medium</v>
      </c>
      <c r="I97" s="203" t="str">
        <f>IFERROR(IF(F97&lt;GlobalSettings!$C$6,IF(VLOOKUP(C97,POAM!$D$4:$M$156,9,FALSE)&lt;&gt;"","Yes","No"),""),"")</f>
        <v>No</v>
      </c>
      <c r="J97" s="204"/>
      <c r="K97" s="203" t="str" cm="1">
        <f t="array" ref="K97">_xlfn.IFS((F97&gt;=GlobalSettings!$C$6),"No Remediation Needed",(F97&lt;GlobalSettings!$C$6)*(OR((I97=("No")),(J97=("")))),"Not Started",(F97&lt;GlobalSettings!$C$6)*(I97="Yes")*(OR((J97=""),(J97="Not Started"))),"Planned",(F97&lt;GlobalSettings!$C$6)*(I97="Yes")*(J97="In Process"),"In Progress")</f>
        <v>Not Started</v>
      </c>
    </row>
    <row r="98" spans="1:11" ht="45" x14ac:dyDescent="0.25">
      <c r="A98" s="190">
        <v>9</v>
      </c>
      <c r="B98" s="190">
        <v>2</v>
      </c>
      <c r="C98" s="195">
        <v>12.07</v>
      </c>
      <c r="D98" s="196" t="s">
        <v>260</v>
      </c>
      <c r="E98" s="197">
        <f>'Control 12'!G96</f>
        <v>0</v>
      </c>
      <c r="F98" s="198">
        <f>VLOOKUP(C98,ScoringTables!$B$3:$I$155,8,FALSE)</f>
        <v>0</v>
      </c>
      <c r="G98" s="198" t="str">
        <f>VLOOKUP(C98,ScoringTables!$B$3:$I$155,6,FALSE)</f>
        <v>High</v>
      </c>
      <c r="I98" s="203" t="str">
        <f>IFERROR(IF(F98&lt;GlobalSettings!$C$6,IF(VLOOKUP(C98,POAM!$D$4:$M$156,9,FALSE)&lt;&gt;"","Yes","No"),""),"")</f>
        <v>No</v>
      </c>
      <c r="J98" s="204"/>
      <c r="K98" s="203" t="str" cm="1">
        <f t="array" ref="K98">_xlfn.IFS((F98&gt;=GlobalSettings!$C$6),"No Remediation Needed",(F98&lt;GlobalSettings!$C$6)*(OR((I98=("No")),(J98=("")))),"Not Started",(F98&lt;GlobalSettings!$C$6)*(I98="Yes")*(OR((J98=""),(J98="Not Started"))),"Planned",(F98&lt;GlobalSettings!$C$6)*(I98="Yes")*(J98="In Process"),"In Progress")</f>
        <v>Not Started</v>
      </c>
    </row>
    <row r="99" spans="1:11" ht="45" x14ac:dyDescent="0.25">
      <c r="A99" s="190">
        <v>9</v>
      </c>
      <c r="B99" s="190">
        <v>3</v>
      </c>
      <c r="C99" s="195">
        <v>12.08</v>
      </c>
      <c r="D99" s="196" t="s">
        <v>261</v>
      </c>
      <c r="E99" s="197">
        <f>'Control 12'!G108</f>
        <v>0</v>
      </c>
      <c r="F99" s="198">
        <f>VLOOKUP(C99,ScoringTables!$B$3:$I$155,8,FALSE)</f>
        <v>0</v>
      </c>
      <c r="G99" s="198" t="str">
        <f>VLOOKUP(C99,ScoringTables!$B$3:$I$155,6,FALSE)</f>
        <v>High</v>
      </c>
      <c r="I99" s="203" t="str">
        <f>IFERROR(IF(F99&lt;GlobalSettings!$C$6,IF(VLOOKUP(C99,POAM!$D$4:$M$156,9,FALSE)&lt;&gt;"","Yes","No"),""),"")</f>
        <v>No</v>
      </c>
      <c r="J99" s="204"/>
      <c r="K99" s="203" t="str" cm="1">
        <f t="array" ref="K99">_xlfn.IFS((F99&gt;=GlobalSettings!$C$6),"No Remediation Needed",(F99&lt;GlobalSettings!$C$6)*(OR((I99=("No")),(J99=("")))),"Not Started",(F99&lt;GlobalSettings!$C$6)*(I99="Yes")*(OR((J99=""),(J99="Not Started"))),"Planned",(F99&lt;GlobalSettings!$C$6)*(I99="Yes")*(J99="In Process"),"In Progress")</f>
        <v>Not Started</v>
      </c>
    </row>
    <row r="100" spans="1:11" x14ac:dyDescent="0.25">
      <c r="A100" s="190">
        <v>0</v>
      </c>
      <c r="B100" s="190">
        <v>2</v>
      </c>
      <c r="C100" s="195">
        <v>13.01</v>
      </c>
      <c r="D100" s="196" t="s">
        <v>262</v>
      </c>
      <c r="E100" s="197">
        <f>'Control 13'!G12</f>
        <v>0</v>
      </c>
      <c r="F100" s="198">
        <f>VLOOKUP(C100,ScoringTables!$B$3:$I$155,8,FALSE)</f>
        <v>0</v>
      </c>
      <c r="G100" s="198" t="str">
        <f>VLOOKUP(C100,ScoringTables!$B$3:$I$155,6,FALSE)</f>
        <v>High</v>
      </c>
      <c r="I100" s="203" t="str">
        <f>IFERROR(IF(F100&lt;GlobalSettings!$C$6,IF(VLOOKUP(C100,POAM!$D$4:$M$156,9,FALSE)&lt;&gt;"","Yes","No"),""),"")</f>
        <v>No</v>
      </c>
      <c r="J100" s="204"/>
      <c r="K100" s="203" t="str" cm="1">
        <f t="array" ref="K100">_xlfn.IFS((F100&gt;=GlobalSettings!$C$6),"No Remediation Needed",(F100&lt;GlobalSettings!$C$6)*(OR((I100=("No")),(J100=("")))),"Not Started",(F100&lt;GlobalSettings!$C$6)*(I100="Yes")*(OR((J100=""),(J100="Not Started"))),"Planned",(F100&lt;GlobalSettings!$C$6)*(I100="Yes")*(J100="In Process"),"In Progress")</f>
        <v>Not Started</v>
      </c>
    </row>
    <row r="101" spans="1:11" ht="30" x14ac:dyDescent="0.25">
      <c r="A101" s="190">
        <v>9</v>
      </c>
      <c r="B101" s="190">
        <v>2</v>
      </c>
      <c r="C101" s="195">
        <v>13.02</v>
      </c>
      <c r="D101" s="196" t="s">
        <v>263</v>
      </c>
      <c r="E101" s="197">
        <f>'Control 13'!G21</f>
        <v>0</v>
      </c>
      <c r="F101" s="198">
        <f>VLOOKUP(C101,ScoringTables!$B$3:$I$155,8,FALSE)</f>
        <v>0</v>
      </c>
      <c r="G101" s="198" t="str">
        <f>VLOOKUP(C101,ScoringTables!$B$3:$I$155,6,FALSE)</f>
        <v>High</v>
      </c>
      <c r="I101" s="203" t="str">
        <f>IFERROR(IF(F101&lt;GlobalSettings!$C$6,IF(VLOOKUP(C101,POAM!$D$4:$M$156,9,FALSE)&lt;&gt;"","Yes","No"),""),"")</f>
        <v>No</v>
      </c>
      <c r="J101" s="204"/>
      <c r="K101" s="203" t="str" cm="1">
        <f t="array" ref="K101">_xlfn.IFS((F101&gt;=GlobalSettings!$C$6),"No Remediation Needed",(F101&lt;GlobalSettings!$C$6)*(OR((I101=("No")),(J101=("")))),"Not Started",(F101&lt;GlobalSettings!$C$6)*(I101="Yes")*(OR((J101=""),(J101="Not Started"))),"Planned",(F101&lt;GlobalSettings!$C$6)*(I101="Yes")*(J101="In Process"),"In Progress")</f>
        <v>Not Started</v>
      </c>
    </row>
    <row r="102" spans="1:11" ht="30" x14ac:dyDescent="0.25">
      <c r="A102" s="190">
        <v>9</v>
      </c>
      <c r="B102" s="190">
        <v>2</v>
      </c>
      <c r="C102" s="195">
        <v>13.03</v>
      </c>
      <c r="D102" s="196" t="s">
        <v>264</v>
      </c>
      <c r="E102" s="197">
        <f>'Control 13'!G30</f>
        <v>0</v>
      </c>
      <c r="F102" s="198">
        <f>VLOOKUP(C102,ScoringTables!$B$3:$I$155,8,FALSE)</f>
        <v>0</v>
      </c>
      <c r="G102" s="198" t="str">
        <f>VLOOKUP(C102,ScoringTables!$B$3:$I$155,6,FALSE)</f>
        <v>Medium</v>
      </c>
      <c r="I102" s="203" t="str">
        <f>IFERROR(IF(F102&lt;GlobalSettings!$C$6,IF(VLOOKUP(C102,POAM!$D$4:$M$156,9,FALSE)&lt;&gt;"","Yes","No"),""),"")</f>
        <v>No</v>
      </c>
      <c r="J102" s="204"/>
      <c r="K102" s="203" t="str" cm="1">
        <f t="array" ref="K102">_xlfn.IFS((F102&gt;=GlobalSettings!$C$6),"No Remediation Needed",(F102&lt;GlobalSettings!$C$6)*(OR((I102=("No")),(J102=("")))),"Not Started",(F102&lt;GlobalSettings!$C$6)*(I102="Yes")*(OR((J102=""),(J102="Not Started"))),"Planned",(F102&lt;GlobalSettings!$C$6)*(I102="Yes")*(J102="In Process"),"In Progress")</f>
        <v>Not Started</v>
      </c>
    </row>
    <row r="103" spans="1:11" ht="30" x14ac:dyDescent="0.25">
      <c r="A103" s="190">
        <v>9</v>
      </c>
      <c r="B103" s="190">
        <v>2</v>
      </c>
      <c r="C103" s="195">
        <v>13.04</v>
      </c>
      <c r="D103" s="196" t="s">
        <v>265</v>
      </c>
      <c r="E103" s="197">
        <f>'Control 13'!G39</f>
        <v>0</v>
      </c>
      <c r="F103" s="198">
        <f>VLOOKUP(C103,ScoringTables!$B$3:$I$155,8,FALSE)</f>
        <v>0</v>
      </c>
      <c r="G103" s="198" t="str">
        <f>VLOOKUP(C103,ScoringTables!$B$3:$I$155,6,FALSE)</f>
        <v>Medium</v>
      </c>
      <c r="I103" s="203" t="str">
        <f>IFERROR(IF(F103&lt;GlobalSettings!$C$6,IF(VLOOKUP(C103,POAM!$D$4:$M$156,9,FALSE)&lt;&gt;"","Yes","No"),""),"")</f>
        <v>No</v>
      </c>
      <c r="J103" s="204"/>
      <c r="K103" s="203" t="str" cm="1">
        <f t="array" ref="K103">_xlfn.IFS((F103&gt;=GlobalSettings!$C$6),"No Remediation Needed",(F103&lt;GlobalSettings!$C$6)*(OR((I103=("No")),(J103=("")))),"Not Started",(F103&lt;GlobalSettings!$C$6)*(I103="Yes")*(OR((J103=""),(J103="Not Started"))),"Planned",(F103&lt;GlobalSettings!$C$6)*(I103="Yes")*(J103="In Process"),"In Progress")</f>
        <v>Not Started</v>
      </c>
    </row>
    <row r="104" spans="1:11" ht="30" x14ac:dyDescent="0.25">
      <c r="A104" s="190">
        <v>9</v>
      </c>
      <c r="B104" s="190">
        <v>2</v>
      </c>
      <c r="C104" s="195">
        <v>13.05</v>
      </c>
      <c r="D104" s="196" t="s">
        <v>266</v>
      </c>
      <c r="E104" s="197">
        <f>'Control 13'!G52</f>
        <v>0</v>
      </c>
      <c r="F104" s="198">
        <f>VLOOKUP(C104,ScoringTables!$B$3:$I$155,8,FALSE)</f>
        <v>0</v>
      </c>
      <c r="G104" s="198" t="str">
        <f>VLOOKUP(C104,ScoringTables!$B$3:$I$155,6,FALSE)</f>
        <v>High</v>
      </c>
      <c r="I104" s="203" t="str">
        <f>IFERROR(IF(F104&lt;GlobalSettings!$C$6,IF(VLOOKUP(C104,POAM!$D$4:$M$156,9,FALSE)&lt;&gt;"","Yes","No"),""),"")</f>
        <v>No</v>
      </c>
      <c r="J104" s="204"/>
      <c r="K104" s="203" t="str" cm="1">
        <f t="array" ref="K104">_xlfn.IFS((F104&gt;=GlobalSettings!$C$6),"No Remediation Needed",(F104&lt;GlobalSettings!$C$6)*(OR((I104=("No")),(J104=("")))),"Not Started",(F104&lt;GlobalSettings!$C$6)*(I104="Yes")*(OR((J104=""),(J104="Not Started"))),"Planned",(F104&lt;GlobalSettings!$C$6)*(I104="Yes")*(J104="In Process"),"In Progress")</f>
        <v>Not Started</v>
      </c>
    </row>
    <row r="105" spans="1:11" x14ac:dyDescent="0.25">
      <c r="A105" s="190">
        <v>9</v>
      </c>
      <c r="B105" s="190">
        <v>2</v>
      </c>
      <c r="C105" s="195">
        <v>13.06</v>
      </c>
      <c r="D105" s="196" t="s">
        <v>267</v>
      </c>
      <c r="E105" s="197">
        <f>'Control 13'!G61</f>
        <v>0</v>
      </c>
      <c r="F105" s="198">
        <f>VLOOKUP(C105,ScoringTables!$B$3:$I$155,8,FALSE)</f>
        <v>0</v>
      </c>
      <c r="G105" s="198" t="str">
        <f>VLOOKUP(C105,ScoringTables!$B$3:$I$155,6,FALSE)</f>
        <v>Medium</v>
      </c>
      <c r="I105" s="203" t="str">
        <f>IFERROR(IF(F105&lt;GlobalSettings!$C$6,IF(VLOOKUP(C105,POAM!$D$4:$M$156,9,FALSE)&lt;&gt;"","Yes","No"),""),"")</f>
        <v>No</v>
      </c>
      <c r="J105" s="204"/>
      <c r="K105" s="203" t="str" cm="1">
        <f t="array" ref="K105">_xlfn.IFS((F105&gt;=GlobalSettings!$C$6),"No Remediation Needed",(F105&lt;GlobalSettings!$C$6)*(OR((I105=("No")),(J105=("")))),"Not Started",(F105&lt;GlobalSettings!$C$6)*(I105="Yes")*(OR((J105=""),(J105="Not Started"))),"Planned",(F105&lt;GlobalSettings!$C$6)*(I105="Yes")*(J105="In Process"),"In Progress")</f>
        <v>Not Started</v>
      </c>
    </row>
    <row r="106" spans="1:11" ht="30" x14ac:dyDescent="0.25">
      <c r="A106" s="190">
        <v>0</v>
      </c>
      <c r="B106" s="190">
        <v>3</v>
      </c>
      <c r="C106" s="195">
        <v>13.07</v>
      </c>
      <c r="D106" s="196" t="s">
        <v>268</v>
      </c>
      <c r="E106" s="197">
        <f>'Control 13'!G70</f>
        <v>0</v>
      </c>
      <c r="F106" s="198">
        <f>VLOOKUP(C106,ScoringTables!$B$3:$I$155,8,FALSE)</f>
        <v>0</v>
      </c>
      <c r="G106" s="198" t="str">
        <f>VLOOKUP(C106,ScoringTables!$B$3:$I$155,6,FALSE)</f>
        <v>High</v>
      </c>
      <c r="I106" s="203" t="str">
        <f>IFERROR(IF(F106&lt;GlobalSettings!$C$6,IF(VLOOKUP(C106,POAM!$D$4:$M$156,9,FALSE)&lt;&gt;"","Yes","No"),""),"")</f>
        <v>No</v>
      </c>
      <c r="J106" s="204"/>
      <c r="K106" s="203" t="str" cm="1">
        <f t="array" ref="K106">_xlfn.IFS((F106&gt;=GlobalSettings!$C$6),"No Remediation Needed",(F106&lt;GlobalSettings!$C$6)*(OR((I106=("No")),(J106=("")))),"Not Started",(F106&lt;GlobalSettings!$C$6)*(I106="Yes")*(OR((J106=""),(J106="Not Started"))),"Planned",(F106&lt;GlobalSettings!$C$6)*(I106="Yes")*(J106="In Process"),"In Progress")</f>
        <v>Not Started</v>
      </c>
    </row>
    <row r="107" spans="1:11" ht="30" x14ac:dyDescent="0.25">
      <c r="A107" s="190">
        <v>9</v>
      </c>
      <c r="B107" s="190">
        <v>3</v>
      </c>
      <c r="C107" s="195">
        <v>13.08</v>
      </c>
      <c r="D107" s="196" t="s">
        <v>269</v>
      </c>
      <c r="E107" s="197">
        <f>'Control 13'!G79</f>
        <v>0</v>
      </c>
      <c r="F107" s="198">
        <f>VLOOKUP(C107,ScoringTables!$B$3:$I$155,8,FALSE)</f>
        <v>0</v>
      </c>
      <c r="G107" s="198" t="str">
        <f>VLOOKUP(C107,ScoringTables!$B$3:$I$155,6,FALSE)</f>
        <v>Medium</v>
      </c>
      <c r="I107" s="203" t="str">
        <f>IFERROR(IF(F107&lt;GlobalSettings!$C$6,IF(VLOOKUP(C107,POAM!$D$4:$M$156,9,FALSE)&lt;&gt;"","Yes","No"),""),"")</f>
        <v>No</v>
      </c>
      <c r="J107" s="204"/>
      <c r="K107" s="203" t="str" cm="1">
        <f t="array" ref="K107">_xlfn.IFS((F107&gt;=GlobalSettings!$C$6),"No Remediation Needed",(F107&lt;GlobalSettings!$C$6)*(OR((I107=("No")),(J107=("")))),"Not Started",(F107&lt;GlobalSettings!$C$6)*(I107="Yes")*(OR((J107=""),(J107="Not Started"))),"Planned",(F107&lt;GlobalSettings!$C$6)*(I107="Yes")*(J107="In Process"),"In Progress")</f>
        <v>Not Started</v>
      </c>
    </row>
    <row r="108" spans="1:11" x14ac:dyDescent="0.25">
      <c r="A108" s="190">
        <v>9</v>
      </c>
      <c r="B108" s="190">
        <v>3</v>
      </c>
      <c r="C108" s="195">
        <v>13.09</v>
      </c>
      <c r="D108" s="196" t="s">
        <v>270</v>
      </c>
      <c r="E108" s="197">
        <f>'Control 13'!G96</f>
        <v>0</v>
      </c>
      <c r="F108" s="198">
        <f>VLOOKUP(C108,ScoringTables!$B$3:$I$155,8,FALSE)</f>
        <v>0</v>
      </c>
      <c r="G108" s="198" t="str">
        <f>VLOOKUP(C108,ScoringTables!$B$3:$I$155,6,FALSE)</f>
        <v>Medium</v>
      </c>
      <c r="I108" s="203" t="str">
        <f>IFERROR(IF(F108&lt;GlobalSettings!$C$6,IF(VLOOKUP(C108,POAM!$D$4:$M$156,9,FALSE)&lt;&gt;"","Yes","No"),""),"")</f>
        <v>No</v>
      </c>
      <c r="J108" s="204"/>
      <c r="K108" s="203" t="str" cm="1">
        <f t="array" ref="K108">_xlfn.IFS((F108&gt;=GlobalSettings!$C$6),"No Remediation Needed",(F108&lt;GlobalSettings!$C$6)*(OR((I108=("No")),(J108=("")))),"Not Started",(F108&lt;GlobalSettings!$C$6)*(I108="Yes")*(OR((J108=""),(J108="Not Started"))),"Planned",(F108&lt;GlobalSettings!$C$6)*(I108="Yes")*(J108="In Process"),"In Progress")</f>
        <v>Not Started</v>
      </c>
    </row>
    <row r="109" spans="1:11" ht="30" x14ac:dyDescent="0.25">
      <c r="A109" s="190">
        <v>9</v>
      </c>
      <c r="B109" s="190">
        <v>3</v>
      </c>
      <c r="C109" s="195">
        <v>13.1</v>
      </c>
      <c r="D109" s="196" t="s">
        <v>271</v>
      </c>
      <c r="E109" s="197">
        <f>'Control 13'!G105</f>
        <v>0</v>
      </c>
      <c r="F109" s="198">
        <f>VLOOKUP(C109,ScoringTables!$B$3:$I$155,8,FALSE)</f>
        <v>0</v>
      </c>
      <c r="G109" s="198" t="str">
        <f>VLOOKUP(C109,ScoringTables!$B$3:$I$155,6,FALSE)</f>
        <v>High</v>
      </c>
      <c r="I109" s="203" t="str">
        <f>IFERROR(IF(F109&lt;GlobalSettings!$C$6,IF(VLOOKUP(C109,POAM!$D$4:$M$156,9,FALSE)&lt;&gt;"","Yes","No"),""),"")</f>
        <v>No</v>
      </c>
      <c r="J109" s="204"/>
      <c r="K109" s="203" t="str" cm="1">
        <f t="array" ref="K109">_xlfn.IFS((F109&gt;=GlobalSettings!$C$6),"No Remediation Needed",(F109&lt;GlobalSettings!$C$6)*(OR((I109=("No")),(J109=("")))),"Not Started",(F109&lt;GlobalSettings!$C$6)*(I109="Yes")*(OR((J109=""),(J109="Not Started"))),"Planned",(F109&lt;GlobalSettings!$C$6)*(I109="Yes")*(J109="In Process"),"In Progress")</f>
        <v>Not Started</v>
      </c>
    </row>
    <row r="110" spans="1:11" ht="30" x14ac:dyDescent="0.25">
      <c r="A110" s="190">
        <v>9</v>
      </c>
      <c r="B110" s="190">
        <v>3</v>
      </c>
      <c r="C110" s="195">
        <v>13.11</v>
      </c>
      <c r="D110" s="196" t="s">
        <v>272</v>
      </c>
      <c r="E110" s="197">
        <f>'Control 13'!G112</f>
        <v>0</v>
      </c>
      <c r="F110" s="198">
        <f>VLOOKUP(C110,ScoringTables!$B$3:$I$155,8,FALSE)</f>
        <v>0</v>
      </c>
      <c r="G110" s="198" t="str">
        <f>VLOOKUP(C110,ScoringTables!$B$3:$I$155,6,FALSE)</f>
        <v>Medium</v>
      </c>
      <c r="I110" s="203" t="str">
        <f>IFERROR(IF(F110&lt;GlobalSettings!$C$6,IF(VLOOKUP(C110,POAM!$D$4:$M$156,9,FALSE)&lt;&gt;"","Yes","No"),""),"")</f>
        <v>No</v>
      </c>
      <c r="J110" s="204"/>
      <c r="K110" s="203" t="str" cm="1">
        <f t="array" ref="K110">_xlfn.IFS((F110&gt;=GlobalSettings!$C$6),"No Remediation Needed",(F110&lt;GlobalSettings!$C$6)*(OR((I110=("No")),(J110=("")))),"Not Started",(F110&lt;GlobalSettings!$C$6)*(I110="Yes")*(OR((J110=""),(J110="Not Started"))),"Planned",(F110&lt;GlobalSettings!$C$6)*(I110="Yes")*(J110="In Process"),"In Progress")</f>
        <v>Not Started</v>
      </c>
    </row>
    <row r="111" spans="1:11" ht="30" x14ac:dyDescent="0.25">
      <c r="A111" s="190">
        <v>0</v>
      </c>
      <c r="B111" s="190">
        <v>1</v>
      </c>
      <c r="C111" s="195">
        <v>14.01</v>
      </c>
      <c r="D111" s="196" t="s">
        <v>273</v>
      </c>
      <c r="E111" s="197">
        <f>'Control 14'!G16</f>
        <v>0</v>
      </c>
      <c r="F111" s="198">
        <f>VLOOKUP(C111,ScoringTables!$B$3:$I$155,8,FALSE)</f>
        <v>0</v>
      </c>
      <c r="G111" s="198" t="str">
        <f>VLOOKUP(C111,ScoringTables!$B$3:$I$155,6,FALSE)</f>
        <v>High</v>
      </c>
      <c r="I111" s="203" t="str">
        <f>IFERROR(IF(F111&lt;GlobalSettings!$C$6,IF(VLOOKUP(C111,POAM!$D$4:$M$156,9,FALSE)&lt;&gt;"","Yes","No"),""),"")</f>
        <v>No</v>
      </c>
      <c r="J111" s="204"/>
      <c r="K111" s="203" t="str" cm="1">
        <f t="array" ref="K111">_xlfn.IFS((F111&gt;=GlobalSettings!$C$6),"No Remediation Needed",(F111&lt;GlobalSettings!$C$6)*(OR((I111=("No")),(J111=("")))),"Not Started",(F111&lt;GlobalSettings!$C$6)*(I111="Yes")*(OR((J111=""),(J111="Not Started"))),"Planned",(F111&lt;GlobalSettings!$C$6)*(I111="Yes")*(J111="In Process"),"In Progress")</f>
        <v>Not Started</v>
      </c>
    </row>
    <row r="112" spans="1:11" ht="45" x14ac:dyDescent="0.25">
      <c r="A112" s="190">
        <v>0</v>
      </c>
      <c r="B112" s="190">
        <v>1</v>
      </c>
      <c r="C112" s="195">
        <v>14.02</v>
      </c>
      <c r="D112" s="196" t="s">
        <v>274</v>
      </c>
      <c r="E112" s="197">
        <f>'Control 14'!G29</f>
        <v>0</v>
      </c>
      <c r="F112" s="198">
        <f>VLOOKUP(C112,ScoringTables!$B$3:$I$155,8,FALSE)</f>
        <v>0</v>
      </c>
      <c r="G112" s="198" t="str">
        <f>VLOOKUP(C112,ScoringTables!$B$3:$I$155,6,FALSE)</f>
        <v>Medium</v>
      </c>
      <c r="I112" s="203" t="str">
        <f>IFERROR(IF(F112&lt;GlobalSettings!$C$6,IF(VLOOKUP(C112,POAM!$D$4:$M$156,9,FALSE)&lt;&gt;"","Yes","No"),""),"")</f>
        <v>No</v>
      </c>
      <c r="J112" s="204"/>
      <c r="K112" s="203" t="str" cm="1">
        <f t="array" ref="K112">_xlfn.IFS((F112&gt;=GlobalSettings!$C$6),"No Remediation Needed",(F112&lt;GlobalSettings!$C$6)*(OR((I112=("No")),(J112=("")))),"Not Started",(F112&lt;GlobalSettings!$C$6)*(I112="Yes")*(OR((J112=""),(J112="Not Started"))),"Planned",(F112&lt;GlobalSettings!$C$6)*(I112="Yes")*(J112="In Process"),"In Progress")</f>
        <v>Not Started</v>
      </c>
    </row>
    <row r="113" spans="1:11" ht="30" x14ac:dyDescent="0.25">
      <c r="A113" s="190">
        <v>0</v>
      </c>
      <c r="B113" s="190">
        <v>1</v>
      </c>
      <c r="C113" s="195">
        <v>14.03</v>
      </c>
      <c r="D113" s="196" t="s">
        <v>275</v>
      </c>
      <c r="E113" s="197">
        <f>'Control 14'!G42</f>
        <v>0</v>
      </c>
      <c r="F113" s="198">
        <f>VLOOKUP(C113,ScoringTables!$B$3:$I$155,8,FALSE)</f>
        <v>0</v>
      </c>
      <c r="G113" s="198" t="str">
        <f>VLOOKUP(C113,ScoringTables!$B$3:$I$155,6,FALSE)</f>
        <v>High</v>
      </c>
      <c r="I113" s="203" t="str">
        <f>IFERROR(IF(F113&lt;GlobalSettings!$C$6,IF(VLOOKUP(C113,POAM!$D$4:$M$156,9,FALSE)&lt;&gt;"","Yes","No"),""),"")</f>
        <v>No</v>
      </c>
      <c r="J113" s="204"/>
      <c r="K113" s="203" t="str" cm="1">
        <f t="array" ref="K113">_xlfn.IFS((F113&gt;=GlobalSettings!$C$6),"No Remediation Needed",(F113&lt;GlobalSettings!$C$6)*(OR((I113=("No")),(J113=("")))),"Not Started",(F113&lt;GlobalSettings!$C$6)*(I113="Yes")*(OR((J113=""),(J113="Not Started"))),"Planned",(F113&lt;GlobalSettings!$C$6)*(I113="Yes")*(J113="In Process"),"In Progress")</f>
        <v>Not Started</v>
      </c>
    </row>
    <row r="114" spans="1:11" ht="30" x14ac:dyDescent="0.25">
      <c r="A114" s="190">
        <v>0</v>
      </c>
      <c r="B114" s="190">
        <v>1</v>
      </c>
      <c r="C114" s="195">
        <v>14.04</v>
      </c>
      <c r="D114" s="196" t="s">
        <v>276</v>
      </c>
      <c r="E114" s="197">
        <f>'Control 14'!G55</f>
        <v>0</v>
      </c>
      <c r="F114" s="198">
        <f>VLOOKUP(C114,ScoringTables!$B$3:$I$155,8,FALSE)</f>
        <v>0</v>
      </c>
      <c r="G114" s="198" t="str">
        <f>VLOOKUP(C114,ScoringTables!$B$3:$I$155,6,FALSE)</f>
        <v>Medium</v>
      </c>
      <c r="I114" s="203" t="str">
        <f>IFERROR(IF(F114&lt;GlobalSettings!$C$6,IF(VLOOKUP(C114,POAM!$D$4:$M$156,9,FALSE)&lt;&gt;"","Yes","No"),""),"")</f>
        <v>No</v>
      </c>
      <c r="J114" s="204"/>
      <c r="K114" s="203" t="str" cm="1">
        <f t="array" ref="K114">_xlfn.IFS((F114&gt;=GlobalSettings!$C$6),"No Remediation Needed",(F114&lt;GlobalSettings!$C$6)*(OR((I114=("No")),(J114=("")))),"Not Started",(F114&lt;GlobalSettings!$C$6)*(I114="Yes")*(OR((J114=""),(J114="Not Started"))),"Planned",(F114&lt;GlobalSettings!$C$6)*(I114="Yes")*(J114="In Process"),"In Progress")</f>
        <v>Not Started</v>
      </c>
    </row>
    <row r="115" spans="1:11" ht="45" x14ac:dyDescent="0.25">
      <c r="A115" s="190">
        <v>0</v>
      </c>
      <c r="B115" s="190">
        <v>1</v>
      </c>
      <c r="C115" s="195">
        <v>14.05</v>
      </c>
      <c r="D115" s="196" t="s">
        <v>277</v>
      </c>
      <c r="E115" s="197">
        <f>'Control 14'!G68</f>
        <v>0</v>
      </c>
      <c r="F115" s="198">
        <f>VLOOKUP(C115,ScoringTables!$B$3:$I$155,8,FALSE)</f>
        <v>0</v>
      </c>
      <c r="G115" s="198" t="str">
        <f>VLOOKUP(C115,ScoringTables!$B$3:$I$155,6,FALSE)</f>
        <v>Medium</v>
      </c>
      <c r="I115" s="203" t="str">
        <f>IFERROR(IF(F115&lt;GlobalSettings!$C$6,IF(VLOOKUP(C115,POAM!$D$4:$M$156,9,FALSE)&lt;&gt;"","Yes","No"),""),"")</f>
        <v>No</v>
      </c>
      <c r="J115" s="204"/>
      <c r="K115" s="203" t="str" cm="1">
        <f t="array" ref="K115">_xlfn.IFS((F115&gt;=GlobalSettings!$C$6),"No Remediation Needed",(F115&lt;GlobalSettings!$C$6)*(OR((I115=("No")),(J115=("")))),"Not Started",(F115&lt;GlobalSettings!$C$6)*(I115="Yes")*(OR((J115=""),(J115="Not Started"))),"Planned",(F115&lt;GlobalSettings!$C$6)*(I115="Yes")*(J115="In Process"),"In Progress")</f>
        <v>Not Started</v>
      </c>
    </row>
    <row r="116" spans="1:11" ht="45" x14ac:dyDescent="0.25">
      <c r="A116" s="190">
        <v>0</v>
      </c>
      <c r="B116" s="190">
        <v>1</v>
      </c>
      <c r="C116" s="195">
        <v>14.06</v>
      </c>
      <c r="D116" s="196" t="s">
        <v>278</v>
      </c>
      <c r="E116" s="197">
        <f>'Control 14'!G81</f>
        <v>0</v>
      </c>
      <c r="F116" s="198">
        <f>VLOOKUP(C116,ScoringTables!$B$3:$I$155,8,FALSE)</f>
        <v>0</v>
      </c>
      <c r="G116" s="198" t="str">
        <f>VLOOKUP(C116,ScoringTables!$B$3:$I$155,6,FALSE)</f>
        <v>Medium</v>
      </c>
      <c r="I116" s="203" t="str">
        <f>IFERROR(IF(F116&lt;GlobalSettings!$C$6,IF(VLOOKUP(C116,POAM!$D$4:$M$156,9,FALSE)&lt;&gt;"","Yes","No"),""),"")</f>
        <v>No</v>
      </c>
      <c r="J116" s="204"/>
      <c r="K116" s="203" t="str" cm="1">
        <f t="array" ref="K116">_xlfn.IFS((F116&gt;=GlobalSettings!$C$6),"No Remediation Needed",(F116&lt;GlobalSettings!$C$6)*(OR((I116=("No")),(J116=("")))),"Not Started",(F116&lt;GlobalSettings!$C$6)*(I116="Yes")*(OR((J116=""),(J116="Not Started"))),"Planned",(F116&lt;GlobalSettings!$C$6)*(I116="Yes")*(J116="In Process"),"In Progress")</f>
        <v>Not Started</v>
      </c>
    </row>
    <row r="117" spans="1:11" ht="60" x14ac:dyDescent="0.25">
      <c r="A117" s="190">
        <v>9</v>
      </c>
      <c r="B117" s="190">
        <v>1</v>
      </c>
      <c r="C117" s="195">
        <v>14.07</v>
      </c>
      <c r="D117" s="196" t="s">
        <v>279</v>
      </c>
      <c r="E117" s="197">
        <f>'Control 14'!G94</f>
        <v>0</v>
      </c>
      <c r="F117" s="198">
        <f>VLOOKUP(C117,ScoringTables!$B$3:$I$155,8,FALSE)</f>
        <v>0</v>
      </c>
      <c r="G117" s="198" t="str">
        <f>VLOOKUP(C117,ScoringTables!$B$3:$I$155,6,FALSE)</f>
        <v>Medium</v>
      </c>
      <c r="I117" s="203" t="str">
        <f>IFERROR(IF(F117&lt;GlobalSettings!$C$6,IF(VLOOKUP(C117,POAM!$D$4:$M$156,9,FALSE)&lt;&gt;"","Yes","No"),""),"")</f>
        <v>No</v>
      </c>
      <c r="J117" s="204"/>
      <c r="K117" s="203" t="str" cm="1">
        <f t="array" ref="K117">_xlfn.IFS((F117&gt;=GlobalSettings!$C$6),"No Remediation Needed",(F117&lt;GlobalSettings!$C$6)*(OR((I117=("No")),(J117=("")))),"Not Started",(F117&lt;GlobalSettings!$C$6)*(I117="Yes")*(OR((J117=""),(J117="Not Started"))),"Planned",(F117&lt;GlobalSettings!$C$6)*(I117="Yes")*(J117="In Process"),"In Progress")</f>
        <v>Not Started</v>
      </c>
    </row>
    <row r="118" spans="1:11" ht="60" x14ac:dyDescent="0.25">
      <c r="A118" s="190">
        <v>0</v>
      </c>
      <c r="B118" s="190">
        <v>1</v>
      </c>
      <c r="C118" s="195">
        <v>14.08</v>
      </c>
      <c r="D118" s="196" t="s">
        <v>280</v>
      </c>
      <c r="E118" s="197">
        <f>'Control 14'!G107</f>
        <v>0</v>
      </c>
      <c r="F118" s="198">
        <f>VLOOKUP(C118,ScoringTables!$B$3:$I$155,8,FALSE)</f>
        <v>0</v>
      </c>
      <c r="G118" s="198" t="str">
        <f>VLOOKUP(C118,ScoringTables!$B$3:$I$155,6,FALSE)</f>
        <v>Medium</v>
      </c>
      <c r="I118" s="203" t="str">
        <f>IFERROR(IF(F118&lt;GlobalSettings!$C$6,IF(VLOOKUP(C118,POAM!$D$4:$M$156,9,FALSE)&lt;&gt;"","Yes","No"),""),"")</f>
        <v>No</v>
      </c>
      <c r="J118" s="204"/>
      <c r="K118" s="203" t="str" cm="1">
        <f t="array" ref="K118">_xlfn.IFS((F118&gt;=GlobalSettings!$C$6),"No Remediation Needed",(F118&lt;GlobalSettings!$C$6)*(OR((I118=("No")),(J118=("")))),"Not Started",(F118&lt;GlobalSettings!$C$6)*(I118="Yes")*(OR((J118=""),(J118="Not Started"))),"Planned",(F118&lt;GlobalSettings!$C$6)*(I118="Yes")*(J118="In Process"),"In Progress")</f>
        <v>Not Started</v>
      </c>
    </row>
    <row r="119" spans="1:11" ht="30" x14ac:dyDescent="0.25">
      <c r="A119" s="190">
        <v>9</v>
      </c>
      <c r="B119" s="190">
        <v>2</v>
      </c>
      <c r="C119" s="195">
        <v>14.09</v>
      </c>
      <c r="D119" s="196" t="s">
        <v>281</v>
      </c>
      <c r="E119" s="197">
        <f>'Control 14'!G120</f>
        <v>0</v>
      </c>
      <c r="F119" s="198">
        <f>VLOOKUP(C119,ScoringTables!$B$3:$I$155,8,FALSE)</f>
        <v>0</v>
      </c>
      <c r="G119" s="198" t="str">
        <f>VLOOKUP(C119,ScoringTables!$B$3:$I$155,6,FALSE)</f>
        <v>Medium</v>
      </c>
      <c r="I119" s="203" t="str">
        <f>IFERROR(IF(F119&lt;GlobalSettings!$C$6,IF(VLOOKUP(C119,POAM!$D$4:$M$156,9,FALSE)&lt;&gt;"","Yes","No"),""),"")</f>
        <v>No</v>
      </c>
      <c r="J119" s="204"/>
      <c r="K119" s="203" t="str" cm="1">
        <f t="array" ref="K119">_xlfn.IFS((F119&gt;=GlobalSettings!$C$6),"No Remediation Needed",(F119&lt;GlobalSettings!$C$6)*(OR((I119=("No")),(J119=("")))),"Not Started",(F119&lt;GlobalSettings!$C$6)*(I119="Yes")*(OR((J119=""),(J119="Not Started"))),"Planned",(F119&lt;GlobalSettings!$C$6)*(I119="Yes")*(J119="In Process"),"In Progress")</f>
        <v>Not Started</v>
      </c>
    </row>
    <row r="120" spans="1:11" ht="30" x14ac:dyDescent="0.25">
      <c r="A120" s="190">
        <v>0</v>
      </c>
      <c r="B120" s="190">
        <v>1</v>
      </c>
      <c r="C120" s="195">
        <v>15.01</v>
      </c>
      <c r="D120" s="196" t="s">
        <v>282</v>
      </c>
      <c r="E120" s="197">
        <f>'Control 15'!G20</f>
        <v>0</v>
      </c>
      <c r="F120" s="198">
        <f>VLOOKUP(C120,ScoringTables!$B$3:$I$155,8,FALSE)</f>
        <v>0</v>
      </c>
      <c r="G120" s="198" t="str">
        <f>VLOOKUP(C120,ScoringTables!$B$3:$I$155,6,FALSE)</f>
        <v>High</v>
      </c>
      <c r="I120" s="203" t="str">
        <f>IFERROR(IF(F120&lt;GlobalSettings!$C$6,IF(VLOOKUP(C120,POAM!$D$4:$M$156,9,FALSE)&lt;&gt;"","Yes","No"),""),"")</f>
        <v>No</v>
      </c>
      <c r="J120" s="204"/>
      <c r="K120" s="203" t="str" cm="1">
        <f t="array" ref="K120">_xlfn.IFS((F120&gt;=GlobalSettings!$C$6),"No Remediation Needed",(F120&lt;GlobalSettings!$C$6)*(OR((I120=("No")),(J120=("")))),"Not Started",(F120&lt;GlobalSettings!$C$6)*(I120="Yes")*(OR((J120=""),(J120="Not Started"))),"Planned",(F120&lt;GlobalSettings!$C$6)*(I120="Yes")*(J120="In Process"),"In Progress")</f>
        <v>Not Started</v>
      </c>
    </row>
    <row r="121" spans="1:11" ht="30" x14ac:dyDescent="0.25">
      <c r="A121" s="190">
        <v>9</v>
      </c>
      <c r="B121" s="190">
        <v>2</v>
      </c>
      <c r="C121" s="195">
        <v>15.02</v>
      </c>
      <c r="D121" s="196" t="s">
        <v>283</v>
      </c>
      <c r="E121" s="197">
        <f>'Control 15'!G34</f>
        <v>0</v>
      </c>
      <c r="F121" s="198">
        <f>VLOOKUP(C121,ScoringTables!$B$3:$I$155,8,FALSE)</f>
        <v>0</v>
      </c>
      <c r="G121" s="198" t="str">
        <f>VLOOKUP(C121,ScoringTables!$B$3:$I$155,6,FALSE)</f>
        <v>High</v>
      </c>
      <c r="I121" s="203" t="str">
        <f>IFERROR(IF(F121&lt;GlobalSettings!$C$6,IF(VLOOKUP(C121,POAM!$D$4:$M$156,9,FALSE)&lt;&gt;"","Yes","No"),""),"")</f>
        <v>No</v>
      </c>
      <c r="J121" s="204"/>
      <c r="K121" s="203" t="str" cm="1">
        <f t="array" ref="K121">_xlfn.IFS((F121&gt;=GlobalSettings!$C$6),"No Remediation Needed",(F121&lt;GlobalSettings!$C$6)*(OR((I121=("No")),(J121=("")))),"Not Started",(F121&lt;GlobalSettings!$C$6)*(I121="Yes")*(OR((J121=""),(J121="Not Started"))),"Planned",(F121&lt;GlobalSettings!$C$6)*(I121="Yes")*(J121="In Process"),"In Progress")</f>
        <v>Not Started</v>
      </c>
    </row>
    <row r="122" spans="1:11" x14ac:dyDescent="0.25">
      <c r="A122" s="190">
        <v>9</v>
      </c>
      <c r="B122" s="190">
        <v>2</v>
      </c>
      <c r="C122" s="195">
        <v>15.03</v>
      </c>
      <c r="D122" s="196" t="s">
        <v>284</v>
      </c>
      <c r="E122" s="197">
        <f>'Control 15'!G45</f>
        <v>0</v>
      </c>
      <c r="F122" s="198">
        <f>VLOOKUP(C122,ScoringTables!$B$3:$I$155,8,FALSE)</f>
        <v>0</v>
      </c>
      <c r="G122" s="198" t="str">
        <f>VLOOKUP(C122,ScoringTables!$B$3:$I$155,6,FALSE)</f>
        <v>Medium</v>
      </c>
      <c r="I122" s="203" t="str">
        <f>IFERROR(IF(F122&lt;GlobalSettings!$C$6,IF(VLOOKUP(C122,POAM!$D$4:$M$156,9,FALSE)&lt;&gt;"","Yes","No"),""),"")</f>
        <v>No</v>
      </c>
      <c r="J122" s="204"/>
      <c r="K122" s="203" t="str" cm="1">
        <f t="array" ref="K122">_xlfn.IFS((F122&gt;=GlobalSettings!$C$6),"No Remediation Needed",(F122&lt;GlobalSettings!$C$6)*(OR((I122=("No")),(J122=("")))),"Not Started",(F122&lt;GlobalSettings!$C$6)*(I122="Yes")*(OR((J122=""),(J122="Not Started"))),"Planned",(F122&lt;GlobalSettings!$C$6)*(I122="Yes")*(J122="In Process"),"In Progress")</f>
        <v>Not Started</v>
      </c>
    </row>
    <row r="123" spans="1:11" ht="30" x14ac:dyDescent="0.25">
      <c r="A123" s="190">
        <v>9</v>
      </c>
      <c r="B123" s="190">
        <v>2</v>
      </c>
      <c r="C123" s="195">
        <v>15.04</v>
      </c>
      <c r="D123" s="196" t="s">
        <v>285</v>
      </c>
      <c r="E123" s="197">
        <f>'Control 15'!G57</f>
        <v>0</v>
      </c>
      <c r="F123" s="198">
        <f>VLOOKUP(C123,ScoringTables!$B$3:$I$155,8,FALSE)</f>
        <v>0</v>
      </c>
      <c r="G123" s="198" t="str">
        <f>VLOOKUP(C123,ScoringTables!$B$3:$I$155,6,FALSE)</f>
        <v>Medium</v>
      </c>
      <c r="I123" s="203" t="str">
        <f>IFERROR(IF(F123&lt;GlobalSettings!$C$6,IF(VLOOKUP(C123,POAM!$D$4:$M$156,9,FALSE)&lt;&gt;"","Yes","No"),""),"")</f>
        <v>No</v>
      </c>
      <c r="J123" s="204"/>
      <c r="K123" s="203" t="str" cm="1">
        <f t="array" ref="K123">_xlfn.IFS((F123&gt;=GlobalSettings!$C$6),"No Remediation Needed",(F123&lt;GlobalSettings!$C$6)*(OR((I123=("No")),(J123=("")))),"Not Started",(F123&lt;GlobalSettings!$C$6)*(I123="Yes")*(OR((J123=""),(J123="Not Started"))),"Planned",(F123&lt;GlobalSettings!$C$6)*(I123="Yes")*(J123="In Process"),"In Progress")</f>
        <v>Not Started</v>
      </c>
    </row>
    <row r="124" spans="1:11" x14ac:dyDescent="0.25">
      <c r="A124" s="190">
        <v>9</v>
      </c>
      <c r="B124" s="190">
        <v>3</v>
      </c>
      <c r="C124" s="195">
        <v>15.05</v>
      </c>
      <c r="D124" s="196" t="s">
        <v>286</v>
      </c>
      <c r="E124" s="197">
        <f>'Control 15'!G67</f>
        <v>0</v>
      </c>
      <c r="F124" s="198">
        <f>VLOOKUP(C124,ScoringTables!$B$3:$I$155,8,FALSE)</f>
        <v>0</v>
      </c>
      <c r="G124" s="198" t="str">
        <f>VLOOKUP(C124,ScoringTables!$B$3:$I$155,6,FALSE)</f>
        <v>Medium</v>
      </c>
      <c r="I124" s="203" t="str">
        <f>IFERROR(IF(F124&lt;GlobalSettings!$C$6,IF(VLOOKUP(C124,POAM!$D$4:$M$156,9,FALSE)&lt;&gt;"","Yes","No"),""),"")</f>
        <v>No</v>
      </c>
      <c r="J124" s="204"/>
      <c r="K124" s="203" t="str" cm="1">
        <f t="array" ref="K124">_xlfn.IFS((F124&gt;=GlobalSettings!$C$6),"No Remediation Needed",(F124&lt;GlobalSettings!$C$6)*(OR((I124=("No")),(J124=("")))),"Not Started",(F124&lt;GlobalSettings!$C$6)*(I124="Yes")*(OR((J124=""),(J124="Not Started"))),"Planned",(F124&lt;GlobalSettings!$C$6)*(I124="Yes")*(J124="In Process"),"In Progress")</f>
        <v>Not Started</v>
      </c>
    </row>
    <row r="125" spans="1:11" x14ac:dyDescent="0.25">
      <c r="A125" s="190">
        <v>9</v>
      </c>
      <c r="B125" s="190">
        <v>3</v>
      </c>
      <c r="C125" s="195">
        <v>15.06</v>
      </c>
      <c r="D125" s="196" t="s">
        <v>287</v>
      </c>
      <c r="E125" s="197">
        <f>'Control 15'!G77</f>
        <v>0</v>
      </c>
      <c r="F125" s="198">
        <f>VLOOKUP(C125,ScoringTables!$B$3:$I$155,8,FALSE)</f>
        <v>0</v>
      </c>
      <c r="G125" s="198" t="str">
        <f>VLOOKUP(C125,ScoringTables!$B$3:$I$155,6,FALSE)</f>
        <v>Medium</v>
      </c>
      <c r="I125" s="203" t="str">
        <f>IFERROR(IF(F125&lt;GlobalSettings!$C$6,IF(VLOOKUP(C125,POAM!$D$4:$M$156,9,FALSE)&lt;&gt;"","Yes","No"),""),"")</f>
        <v>No</v>
      </c>
      <c r="J125" s="204"/>
      <c r="K125" s="203" t="str" cm="1">
        <f t="array" ref="K125">_xlfn.IFS((F125&gt;=GlobalSettings!$C$6),"No Remediation Needed",(F125&lt;GlobalSettings!$C$6)*(OR((I125=("No")),(J125=("")))),"Not Started",(F125&lt;GlobalSettings!$C$6)*(I125="Yes")*(OR((J125=""),(J125="Not Started"))),"Planned",(F125&lt;GlobalSettings!$C$6)*(I125="Yes")*(J125="In Process"),"In Progress")</f>
        <v>Not Started</v>
      </c>
    </row>
    <row r="126" spans="1:11" ht="30" x14ac:dyDescent="0.25">
      <c r="A126" s="190">
        <v>9</v>
      </c>
      <c r="B126" s="190">
        <v>3</v>
      </c>
      <c r="C126" s="195">
        <v>15.07</v>
      </c>
      <c r="D126" s="196" t="s">
        <v>288</v>
      </c>
      <c r="E126" s="197">
        <f>'Control 15'!G87</f>
        <v>0</v>
      </c>
      <c r="F126" s="198">
        <f>VLOOKUP(C126,ScoringTables!$B$3:$I$155,8,FALSE)</f>
        <v>0</v>
      </c>
      <c r="G126" s="198" t="str">
        <f>VLOOKUP(C126,ScoringTables!$B$3:$I$155,6,FALSE)</f>
        <v>Medium</v>
      </c>
      <c r="I126" s="203" t="str">
        <f>IFERROR(IF(F126&lt;GlobalSettings!$C$6,IF(VLOOKUP(C126,POAM!$D$4:$M$156,9,FALSE)&lt;&gt;"","Yes","No"),""),"")</f>
        <v>No</v>
      </c>
      <c r="J126" s="204"/>
      <c r="K126" s="203" t="str" cm="1">
        <f t="array" ref="K126">_xlfn.IFS((F126&gt;=GlobalSettings!$C$6),"No Remediation Needed",(F126&lt;GlobalSettings!$C$6)*(OR((I126=("No")),(J126=("")))),"Not Started",(F126&lt;GlobalSettings!$C$6)*(I126="Yes")*(OR((J126=""),(J126="Not Started"))),"Planned",(F126&lt;GlobalSettings!$C$6)*(I126="Yes")*(J126="In Process"),"In Progress")</f>
        <v>Not Started</v>
      </c>
    </row>
    <row r="127" spans="1:11" ht="30" x14ac:dyDescent="0.25">
      <c r="A127" s="190">
        <v>9</v>
      </c>
      <c r="B127" s="190">
        <v>2</v>
      </c>
      <c r="C127" s="195">
        <v>16.010000000000002</v>
      </c>
      <c r="D127" s="196" t="s">
        <v>289</v>
      </c>
      <c r="E127" s="197">
        <f>'Control 16'!G17</f>
        <v>0</v>
      </c>
      <c r="F127" s="198">
        <f>VLOOKUP(C127,ScoringTables!$B$3:$I$155,8,FALSE)</f>
        <v>0</v>
      </c>
      <c r="G127" s="198" t="str">
        <f>VLOOKUP(C127,ScoringTables!$B$3:$I$155,6,FALSE)</f>
        <v>High</v>
      </c>
      <c r="I127" s="203" t="str">
        <f>IFERROR(IF(F127&lt;GlobalSettings!$C$6,IF(VLOOKUP(C127,POAM!$D$4:$M$156,9,FALSE)&lt;&gt;"","Yes","No"),""),"")</f>
        <v>No</v>
      </c>
      <c r="J127" s="204"/>
      <c r="K127" s="203" t="str" cm="1">
        <f t="array" ref="K127">_xlfn.IFS((F127&gt;=GlobalSettings!$C$6),"No Remediation Needed",(F127&lt;GlobalSettings!$C$6)*(OR((I127=("No")),(J127=("")))),"Not Started",(F127&lt;GlobalSettings!$C$6)*(I127="Yes")*(OR((J127=""),(J127="Not Started"))),"Planned",(F127&lt;GlobalSettings!$C$6)*(I127="Yes")*(J127="In Process"),"In Progress")</f>
        <v>Not Started</v>
      </c>
    </row>
    <row r="128" spans="1:11" ht="45" x14ac:dyDescent="0.25">
      <c r="A128" s="190">
        <v>9</v>
      </c>
      <c r="B128" s="190">
        <v>2</v>
      </c>
      <c r="C128" s="195">
        <v>16.02</v>
      </c>
      <c r="D128" s="196" t="s">
        <v>290</v>
      </c>
      <c r="E128" s="197">
        <f>'Control 16'!G33</f>
        <v>0</v>
      </c>
      <c r="F128" s="198">
        <f>VLOOKUP(C128,ScoringTables!$B$3:$I$155,8,FALSE)</f>
        <v>0</v>
      </c>
      <c r="G128" s="198" t="str">
        <f>VLOOKUP(C128,ScoringTables!$B$3:$I$155,6,FALSE)</f>
        <v>High</v>
      </c>
      <c r="I128" s="203" t="str">
        <f>IFERROR(IF(F128&lt;GlobalSettings!$C$6,IF(VLOOKUP(C128,POAM!$D$4:$M$156,9,FALSE)&lt;&gt;"","Yes","No"),""),"")</f>
        <v>No</v>
      </c>
      <c r="J128" s="204"/>
      <c r="K128" s="203" t="str" cm="1">
        <f t="array" ref="K128">_xlfn.IFS((F128&gt;=GlobalSettings!$C$6),"No Remediation Needed",(F128&lt;GlobalSettings!$C$6)*(OR((I128=("No")),(J128=("")))),"Not Started",(F128&lt;GlobalSettings!$C$6)*(I128="Yes")*(OR((J128=""),(J128="Not Started"))),"Planned",(F128&lt;GlobalSettings!$C$6)*(I128="Yes")*(J128="In Process"),"In Progress")</f>
        <v>Not Started</v>
      </c>
    </row>
    <row r="129" spans="1:11" ht="30" x14ac:dyDescent="0.25">
      <c r="A129" s="190">
        <v>9</v>
      </c>
      <c r="B129" s="190">
        <v>2</v>
      </c>
      <c r="C129" s="195">
        <v>16.03</v>
      </c>
      <c r="D129" s="196" t="s">
        <v>291</v>
      </c>
      <c r="E129" s="197">
        <f>'Control 16'!G47</f>
        <v>0</v>
      </c>
      <c r="F129" s="198">
        <f>VLOOKUP(C129,ScoringTables!$B$3:$I$155,8,FALSE)</f>
        <v>0</v>
      </c>
      <c r="G129" s="198" t="str">
        <f>VLOOKUP(C129,ScoringTables!$B$3:$I$155,6,FALSE)</f>
        <v>Medium</v>
      </c>
      <c r="I129" s="203" t="str">
        <f>IFERROR(IF(F129&lt;GlobalSettings!$C$6,IF(VLOOKUP(C129,POAM!$D$4:$M$156,9,FALSE)&lt;&gt;"","Yes","No"),""),"")</f>
        <v>No</v>
      </c>
      <c r="J129" s="204"/>
      <c r="K129" s="203" t="str" cm="1">
        <f t="array" ref="K129">_xlfn.IFS((F129&gt;=GlobalSettings!$C$6),"No Remediation Needed",(F129&lt;GlobalSettings!$C$6)*(OR((I129=("No")),(J129=("")))),"Not Started",(F129&lt;GlobalSettings!$C$6)*(I129="Yes")*(OR((J129=""),(J129="Not Started"))),"Planned",(F129&lt;GlobalSettings!$C$6)*(I129="Yes")*(J129="In Process"),"In Progress")</f>
        <v>Not Started</v>
      </c>
    </row>
    <row r="130" spans="1:11" ht="45" x14ac:dyDescent="0.25">
      <c r="A130" s="190">
        <v>9</v>
      </c>
      <c r="B130" s="190">
        <v>2</v>
      </c>
      <c r="C130" s="195">
        <v>16.04</v>
      </c>
      <c r="D130" s="196" t="s">
        <v>292</v>
      </c>
      <c r="E130" s="197">
        <f>'Control 16'!G60</f>
        <v>0</v>
      </c>
      <c r="F130" s="198">
        <f>VLOOKUP(C130,ScoringTables!$B$3:$I$155,8,FALSE)</f>
        <v>0</v>
      </c>
      <c r="G130" s="198" t="str">
        <f>VLOOKUP(C130,ScoringTables!$B$3:$I$155,6,FALSE)</f>
        <v>High</v>
      </c>
      <c r="I130" s="203" t="str">
        <f>IFERROR(IF(F130&lt;GlobalSettings!$C$6,IF(VLOOKUP(C130,POAM!$D$4:$M$156,9,FALSE)&lt;&gt;"","Yes","No"),""),"")</f>
        <v>No</v>
      </c>
      <c r="J130" s="204"/>
      <c r="K130" s="203" t="str" cm="1">
        <f t="array" ref="K130">_xlfn.IFS((F130&gt;=GlobalSettings!$C$6),"No Remediation Needed",(F130&lt;GlobalSettings!$C$6)*(OR((I130=("No")),(J130=("")))),"Not Started",(F130&lt;GlobalSettings!$C$6)*(I130="Yes")*(OR((J130=""),(J130="Not Started"))),"Planned",(F130&lt;GlobalSettings!$C$6)*(I130="Yes")*(J130="In Process"),"In Progress")</f>
        <v>Not Started</v>
      </c>
    </row>
    <row r="131" spans="1:11" ht="30" x14ac:dyDescent="0.25">
      <c r="A131" s="190">
        <v>9</v>
      </c>
      <c r="B131" s="190">
        <v>2</v>
      </c>
      <c r="C131" s="195">
        <v>16.05</v>
      </c>
      <c r="D131" s="196" t="s">
        <v>293</v>
      </c>
      <c r="E131" s="197">
        <f>'Control 16'!G70</f>
        <v>0</v>
      </c>
      <c r="F131" s="198">
        <f>VLOOKUP(C131,ScoringTables!$B$3:$I$155,8,FALSE)</f>
        <v>0</v>
      </c>
      <c r="G131" s="198" t="str">
        <f>VLOOKUP(C131,ScoringTables!$B$3:$I$155,6,FALSE)</f>
        <v>Medium</v>
      </c>
      <c r="I131" s="203" t="str">
        <f>IFERROR(IF(F131&lt;GlobalSettings!$C$6,IF(VLOOKUP(C131,POAM!$D$4:$M$156,9,FALSE)&lt;&gt;"","Yes","No"),""),"")</f>
        <v>No</v>
      </c>
      <c r="J131" s="204"/>
      <c r="K131" s="203" t="str" cm="1">
        <f t="array" ref="K131">_xlfn.IFS((F131&gt;=GlobalSettings!$C$6),"No Remediation Needed",(F131&lt;GlobalSettings!$C$6)*(OR((I131=("No")),(J131=("")))),"Not Started",(F131&lt;GlobalSettings!$C$6)*(I131="Yes")*(OR((J131=""),(J131="Not Started"))),"Planned",(F131&lt;GlobalSettings!$C$6)*(I131="Yes")*(J131="In Process"),"In Progress")</f>
        <v>Not Started</v>
      </c>
    </row>
    <row r="132" spans="1:11" ht="45" x14ac:dyDescent="0.25">
      <c r="A132" s="190">
        <v>9</v>
      </c>
      <c r="B132" s="190">
        <v>2</v>
      </c>
      <c r="C132" s="195">
        <v>16.059999999999999</v>
      </c>
      <c r="D132" s="196" t="s">
        <v>294</v>
      </c>
      <c r="E132" s="197">
        <f>'Control 16'!G79</f>
        <v>0</v>
      </c>
      <c r="F132" s="198">
        <f>VLOOKUP(C132,ScoringTables!$B$3:$I$155,8,FALSE)</f>
        <v>0</v>
      </c>
      <c r="G132" s="198" t="str">
        <f>VLOOKUP(C132,ScoringTables!$B$3:$I$155,6,FALSE)</f>
        <v>Medium</v>
      </c>
      <c r="I132" s="203" t="str">
        <f>IFERROR(IF(F132&lt;GlobalSettings!$C$6,IF(VLOOKUP(C132,POAM!$D$4:$M$156,9,FALSE)&lt;&gt;"","Yes","No"),""),"")</f>
        <v>No</v>
      </c>
      <c r="J132" s="204"/>
      <c r="K132" s="203" t="str" cm="1">
        <f t="array" ref="K132">_xlfn.IFS((F132&gt;=GlobalSettings!$C$6),"No Remediation Needed",(F132&lt;GlobalSettings!$C$6)*(OR((I132=("No")),(J132=("")))),"Not Started",(F132&lt;GlobalSettings!$C$6)*(I132="Yes")*(OR((J132=""),(J132="Not Started"))),"Planned",(F132&lt;GlobalSettings!$C$6)*(I132="Yes")*(J132="In Process"),"In Progress")</f>
        <v>Not Started</v>
      </c>
    </row>
    <row r="133" spans="1:11" ht="45" x14ac:dyDescent="0.25">
      <c r="A133" s="190">
        <v>9</v>
      </c>
      <c r="B133" s="190">
        <v>2</v>
      </c>
      <c r="C133" s="195">
        <v>16.07</v>
      </c>
      <c r="D133" s="196" t="s">
        <v>295</v>
      </c>
      <c r="E133" s="197">
        <f>'Control 16'!G88</f>
        <v>0</v>
      </c>
      <c r="F133" s="198">
        <f>VLOOKUP(C133,ScoringTables!$B$3:$I$155,8,FALSE)</f>
        <v>0</v>
      </c>
      <c r="G133" s="198" t="str">
        <f>VLOOKUP(C133,ScoringTables!$B$3:$I$155,6,FALSE)</f>
        <v>Medium</v>
      </c>
      <c r="I133" s="203" t="str">
        <f>IFERROR(IF(F133&lt;GlobalSettings!$C$6,IF(VLOOKUP(C133,POAM!$D$4:$M$156,9,FALSE)&lt;&gt;"","Yes","No"),""),"")</f>
        <v>No</v>
      </c>
      <c r="J133" s="204"/>
      <c r="K133" s="203" t="str" cm="1">
        <f t="array" ref="K133">_xlfn.IFS((F133&gt;=GlobalSettings!$C$6),"No Remediation Needed",(F133&lt;GlobalSettings!$C$6)*(OR((I133=("No")),(J133=("")))),"Not Started",(F133&lt;GlobalSettings!$C$6)*(I133="Yes")*(OR((J133=""),(J133="Not Started"))),"Planned",(F133&lt;GlobalSettings!$C$6)*(I133="Yes")*(J133="In Process"),"In Progress")</f>
        <v>Not Started</v>
      </c>
    </row>
    <row r="134" spans="1:11" ht="30" x14ac:dyDescent="0.25">
      <c r="A134" s="190">
        <v>9</v>
      </c>
      <c r="B134" s="190">
        <v>2</v>
      </c>
      <c r="C134" s="195">
        <v>16.079999999999998</v>
      </c>
      <c r="D134" s="196" t="s">
        <v>296</v>
      </c>
      <c r="E134" s="197">
        <f>'Control 16'!G97</f>
        <v>0</v>
      </c>
      <c r="F134" s="198">
        <f>VLOOKUP(C134,ScoringTables!$B$3:$I$155,8,FALSE)</f>
        <v>0</v>
      </c>
      <c r="G134" s="198" t="str">
        <f>VLOOKUP(C134,ScoringTables!$B$3:$I$155,6,FALSE)</f>
        <v>High</v>
      </c>
      <c r="I134" s="203" t="str">
        <f>IFERROR(IF(F134&lt;GlobalSettings!$C$6,IF(VLOOKUP(C134,POAM!$D$4:$M$156,9,FALSE)&lt;&gt;"","Yes","No"),""),"")</f>
        <v>No</v>
      </c>
      <c r="J134" s="204"/>
      <c r="K134" s="203" t="str" cm="1">
        <f t="array" ref="K134">_xlfn.IFS((F134&gt;=GlobalSettings!$C$6),"No Remediation Needed",(F134&lt;GlobalSettings!$C$6)*(OR((I134=("No")),(J134=("")))),"Not Started",(F134&lt;GlobalSettings!$C$6)*(I134="Yes")*(OR((J134=""),(J134="Not Started"))),"Planned",(F134&lt;GlobalSettings!$C$6)*(I134="Yes")*(J134="In Process"),"In Progress")</f>
        <v>Not Started</v>
      </c>
    </row>
    <row r="135" spans="1:11" ht="45" x14ac:dyDescent="0.25">
      <c r="A135" s="190">
        <v>9</v>
      </c>
      <c r="B135" s="190">
        <v>2</v>
      </c>
      <c r="C135" s="195">
        <v>16.09</v>
      </c>
      <c r="D135" s="196" t="s">
        <v>297</v>
      </c>
      <c r="E135" s="197">
        <f>'Control 16'!G108</f>
        <v>0</v>
      </c>
      <c r="F135" s="198">
        <f>VLOOKUP(C135,ScoringTables!$B$3:$I$155,8,FALSE)</f>
        <v>0</v>
      </c>
      <c r="G135" s="198" t="str">
        <f>VLOOKUP(C135,ScoringTables!$B$3:$I$155,6,FALSE)</f>
        <v>High</v>
      </c>
      <c r="I135" s="203" t="str">
        <f>IFERROR(IF(F135&lt;GlobalSettings!$C$6,IF(VLOOKUP(C135,POAM!$D$4:$M$156,9,FALSE)&lt;&gt;"","Yes","No"),""),"")</f>
        <v>No</v>
      </c>
      <c r="J135" s="204"/>
      <c r="K135" s="203" t="str" cm="1">
        <f t="array" ref="K135">_xlfn.IFS((F135&gt;=GlobalSettings!$C$6),"No Remediation Needed",(F135&lt;GlobalSettings!$C$6)*(OR((I135=("No")),(J135=("")))),"Not Started",(F135&lt;GlobalSettings!$C$6)*(I135="Yes")*(OR((J135=""),(J135="Not Started"))),"Planned",(F135&lt;GlobalSettings!$C$6)*(I135="Yes")*(J135="In Process"),"In Progress")</f>
        <v>Not Started</v>
      </c>
    </row>
    <row r="136" spans="1:11" ht="30" x14ac:dyDescent="0.25">
      <c r="A136" s="190">
        <v>9</v>
      </c>
      <c r="B136" s="190">
        <v>2</v>
      </c>
      <c r="C136" s="195">
        <v>16.100000000000001</v>
      </c>
      <c r="D136" s="196" t="s">
        <v>298</v>
      </c>
      <c r="E136" s="197">
        <f>'Control 16'!G118</f>
        <v>0</v>
      </c>
      <c r="F136" s="198">
        <f>VLOOKUP(C136,ScoringTables!$B$3:$I$155,8,FALSE)</f>
        <v>0</v>
      </c>
      <c r="G136" s="198" t="str">
        <f>VLOOKUP(C136,ScoringTables!$B$3:$I$155,6,FALSE)</f>
        <v>High</v>
      </c>
      <c r="I136" s="203" t="str">
        <f>IFERROR(IF(F136&lt;GlobalSettings!$C$6,IF(VLOOKUP(C136,POAM!$D$4:$M$156,9,FALSE)&lt;&gt;"","Yes","No"),""),"")</f>
        <v>No</v>
      </c>
      <c r="J136" s="204"/>
      <c r="K136" s="203" t="str" cm="1">
        <f t="array" ref="K136">_xlfn.IFS((F136&gt;=GlobalSettings!$C$6),"No Remediation Needed",(F136&lt;GlobalSettings!$C$6)*(OR((I136=("No")),(J136=("")))),"Not Started",(F136&lt;GlobalSettings!$C$6)*(I136="Yes")*(OR((J136=""),(J136="Not Started"))),"Planned",(F136&lt;GlobalSettings!$C$6)*(I136="Yes")*(J136="In Process"),"In Progress")</f>
        <v>Not Started</v>
      </c>
    </row>
    <row r="137" spans="1:11" ht="45" x14ac:dyDescent="0.25">
      <c r="A137" s="190">
        <v>9</v>
      </c>
      <c r="B137" s="190">
        <v>2</v>
      </c>
      <c r="C137" s="195">
        <v>16.11</v>
      </c>
      <c r="D137" s="196" t="s">
        <v>299</v>
      </c>
      <c r="E137" s="197">
        <f>'Control 16'!G129</f>
        <v>0</v>
      </c>
      <c r="F137" s="198">
        <f>VLOOKUP(C137,ScoringTables!$B$3:$I$155,8,FALSE)</f>
        <v>0</v>
      </c>
      <c r="G137" s="198" t="str">
        <f>VLOOKUP(C137,ScoringTables!$B$3:$I$155,6,FALSE)</f>
        <v>Medium</v>
      </c>
      <c r="I137" s="203" t="str">
        <f>IFERROR(IF(F137&lt;GlobalSettings!$C$6,IF(VLOOKUP(C137,POAM!$D$4:$M$156,9,FALSE)&lt;&gt;"","Yes","No"),""),"")</f>
        <v>No</v>
      </c>
      <c r="J137" s="204"/>
      <c r="K137" s="203" t="str" cm="1">
        <f t="array" ref="K137">_xlfn.IFS((F137&gt;=GlobalSettings!$C$6),"No Remediation Needed",(F137&lt;GlobalSettings!$C$6)*(OR((I137=("No")),(J137=("")))),"Not Started",(F137&lt;GlobalSettings!$C$6)*(I137="Yes")*(OR((J137=""),(J137="Not Started"))),"Planned",(F137&lt;GlobalSettings!$C$6)*(I137="Yes")*(J137="In Process"),"In Progress")</f>
        <v>Not Started</v>
      </c>
    </row>
    <row r="138" spans="1:11" ht="30" x14ac:dyDescent="0.25">
      <c r="A138" s="190">
        <v>9</v>
      </c>
      <c r="B138" s="190">
        <v>3</v>
      </c>
      <c r="C138" s="195">
        <v>16.12</v>
      </c>
      <c r="D138" s="196" t="s">
        <v>300</v>
      </c>
      <c r="E138" s="197">
        <f>'Control 16'!G141</f>
        <v>0</v>
      </c>
      <c r="F138" s="198">
        <f>VLOOKUP(C138,ScoringTables!$B$3:$I$155,8,FALSE)</f>
        <v>0</v>
      </c>
      <c r="G138" s="198" t="str">
        <f>VLOOKUP(C138,ScoringTables!$B$3:$I$155,6,FALSE)</f>
        <v>Medium</v>
      </c>
      <c r="I138" s="203" t="str">
        <f>IFERROR(IF(F138&lt;GlobalSettings!$C$6,IF(VLOOKUP(C138,POAM!$D$4:$M$156,9,FALSE)&lt;&gt;"","Yes","No"),""),"")</f>
        <v>No</v>
      </c>
      <c r="J138" s="204"/>
      <c r="K138" s="203" t="str" cm="1">
        <f t="array" ref="K138">_xlfn.IFS((F138&gt;=GlobalSettings!$C$6),"No Remediation Needed",(F138&lt;GlobalSettings!$C$6)*(OR((I138=("No")),(J138=("")))),"Not Started",(F138&lt;GlobalSettings!$C$6)*(I138="Yes")*(OR((J138=""),(J138="Not Started"))),"Planned",(F138&lt;GlobalSettings!$C$6)*(I138="Yes")*(J138="In Process"),"In Progress")</f>
        <v>Not Started</v>
      </c>
    </row>
    <row r="139" spans="1:11" ht="30" x14ac:dyDescent="0.25">
      <c r="A139" s="190">
        <v>9</v>
      </c>
      <c r="B139" s="190">
        <v>3</v>
      </c>
      <c r="C139" s="195">
        <v>16.13</v>
      </c>
      <c r="D139" s="196" t="s">
        <v>301</v>
      </c>
      <c r="E139" s="197">
        <f>'Control 16'!G155</f>
        <v>0</v>
      </c>
      <c r="F139" s="198">
        <f>VLOOKUP(C139,ScoringTables!$B$3:$I$155,8,FALSE)</f>
        <v>0</v>
      </c>
      <c r="G139" s="198" t="str">
        <f>VLOOKUP(C139,ScoringTables!$B$3:$I$155,6,FALSE)</f>
        <v>Medium</v>
      </c>
      <c r="I139" s="203" t="str">
        <f>IFERROR(IF(F139&lt;GlobalSettings!$C$6,IF(VLOOKUP(C139,POAM!$D$4:$M$156,9,FALSE)&lt;&gt;"","Yes","No"),""),"")</f>
        <v>No</v>
      </c>
      <c r="J139" s="204"/>
      <c r="K139" s="203" t="str" cm="1">
        <f t="array" ref="K139">_xlfn.IFS((F139&gt;=GlobalSettings!$C$6),"No Remediation Needed",(F139&lt;GlobalSettings!$C$6)*(OR((I139=("No")),(J139=("")))),"Not Started",(F139&lt;GlobalSettings!$C$6)*(I139="Yes")*(OR((J139=""),(J139="Not Started"))),"Planned",(F139&lt;GlobalSettings!$C$6)*(I139="Yes")*(J139="In Process"),"In Progress")</f>
        <v>Not Started</v>
      </c>
    </row>
    <row r="140" spans="1:11" x14ac:dyDescent="0.25">
      <c r="A140" s="190">
        <v>9</v>
      </c>
      <c r="B140" s="190">
        <v>3</v>
      </c>
      <c r="C140" s="195">
        <v>16.14</v>
      </c>
      <c r="D140" s="196" t="s">
        <v>302</v>
      </c>
      <c r="E140" s="197">
        <f>'Control 16'!G165</f>
        <v>0</v>
      </c>
      <c r="F140" s="198">
        <f>VLOOKUP(C140,ScoringTables!$B$3:$I$155,8,FALSE)</f>
        <v>0</v>
      </c>
      <c r="G140" s="198" t="str">
        <f>VLOOKUP(C140,ScoringTables!$B$3:$I$155,6,FALSE)</f>
        <v>Medium</v>
      </c>
      <c r="I140" s="203" t="str">
        <f>IFERROR(IF(F140&lt;GlobalSettings!$C$6,IF(VLOOKUP(C140,POAM!$D$4:$M$156,9,FALSE)&lt;&gt;"","Yes","No"),""),"")</f>
        <v>No</v>
      </c>
      <c r="J140" s="204"/>
      <c r="K140" s="203" t="str" cm="1">
        <f t="array" ref="K140">_xlfn.IFS((F140&gt;=GlobalSettings!$C$6),"No Remediation Needed",(F140&lt;GlobalSettings!$C$6)*(OR((I140=("No")),(J140=("")))),"Not Started",(F140&lt;GlobalSettings!$C$6)*(I140="Yes")*(OR((J140=""),(J140="Not Started"))),"Planned",(F140&lt;GlobalSettings!$C$6)*(I140="Yes")*(J140="In Process"),"In Progress")</f>
        <v>Not Started</v>
      </c>
    </row>
    <row r="141" spans="1:11" ht="30" x14ac:dyDescent="0.25">
      <c r="A141" s="190">
        <v>0</v>
      </c>
      <c r="B141" s="190">
        <v>1</v>
      </c>
      <c r="C141" s="195">
        <v>17.010000000000002</v>
      </c>
      <c r="D141" s="196" t="s">
        <v>303</v>
      </c>
      <c r="E141" s="197">
        <f>'Control 17'!G14</f>
        <v>0</v>
      </c>
      <c r="F141" s="198">
        <f>VLOOKUP(C141,ScoringTables!$B$3:$I$155,8,FALSE)</f>
        <v>0</v>
      </c>
      <c r="G141" s="198" t="str">
        <f>VLOOKUP(C141,ScoringTables!$B$3:$I$155,6,FALSE)</f>
        <v>Medium</v>
      </c>
      <c r="I141" s="203" t="str">
        <f>IFERROR(IF(F141&lt;GlobalSettings!$C$6,IF(VLOOKUP(C141,POAM!$D$4:$M$156,9,FALSE)&lt;&gt;"","Yes","No"),""),"")</f>
        <v>No</v>
      </c>
      <c r="J141" s="204"/>
      <c r="K141" s="203" t="str" cm="1">
        <f t="array" ref="K141">_xlfn.IFS((F141&gt;=GlobalSettings!$C$6),"No Remediation Needed",(F141&lt;GlobalSettings!$C$6)*(OR((I141=("No")),(J141=("")))),"Not Started",(F141&lt;GlobalSettings!$C$6)*(I141="Yes")*(OR((J141=""),(J141="Not Started"))),"Planned",(F141&lt;GlobalSettings!$C$6)*(I141="Yes")*(J141="In Process"),"In Progress")</f>
        <v>Not Started</v>
      </c>
    </row>
    <row r="142" spans="1:11" ht="45" x14ac:dyDescent="0.25">
      <c r="A142" s="190">
        <v>0</v>
      </c>
      <c r="B142" s="190">
        <v>1</v>
      </c>
      <c r="C142" s="195">
        <v>17.02</v>
      </c>
      <c r="D142" s="196" t="s">
        <v>304</v>
      </c>
      <c r="E142" s="197">
        <f>'Control 17'!G21</f>
        <v>0</v>
      </c>
      <c r="F142" s="198">
        <f>VLOOKUP(C142,ScoringTables!$B$3:$I$155,8,FALSE)</f>
        <v>0</v>
      </c>
      <c r="G142" s="198" t="str">
        <f>VLOOKUP(C142,ScoringTables!$B$3:$I$155,6,FALSE)</f>
        <v>Medium</v>
      </c>
      <c r="I142" s="203" t="str">
        <f>IFERROR(IF(F142&lt;GlobalSettings!$C$6,IF(VLOOKUP(C142,POAM!$D$4:$M$156,9,FALSE)&lt;&gt;"","Yes","No"),""),"")</f>
        <v>No</v>
      </c>
      <c r="J142" s="204"/>
      <c r="K142" s="203" t="str" cm="1">
        <f t="array" ref="K142">_xlfn.IFS((F142&gt;=GlobalSettings!$C$6),"No Remediation Needed",(F142&lt;GlobalSettings!$C$6)*(OR((I142=("No")),(J142=("")))),"Not Started",(F142&lt;GlobalSettings!$C$6)*(I142="Yes")*(OR((J142=""),(J142="Not Started"))),"Planned",(F142&lt;GlobalSettings!$C$6)*(I142="Yes")*(J142="In Process"),"In Progress")</f>
        <v>Not Started</v>
      </c>
    </row>
    <row r="143" spans="1:11" ht="45" x14ac:dyDescent="0.25">
      <c r="A143" s="190">
        <v>0</v>
      </c>
      <c r="B143" s="190">
        <v>1</v>
      </c>
      <c r="C143" s="195">
        <v>17.03</v>
      </c>
      <c r="D143" s="196" t="s">
        <v>305</v>
      </c>
      <c r="E143" s="197">
        <f>'Control 17'!G35</f>
        <v>0</v>
      </c>
      <c r="F143" s="198">
        <f>VLOOKUP(C143,ScoringTables!$B$3:$I$155,8,FALSE)</f>
        <v>0</v>
      </c>
      <c r="G143" s="198" t="str">
        <f>VLOOKUP(C143,ScoringTables!$B$3:$I$155,6,FALSE)</f>
        <v>Medium</v>
      </c>
      <c r="I143" s="203" t="str">
        <f>IFERROR(IF(F143&lt;GlobalSettings!$C$6,IF(VLOOKUP(C143,POAM!$D$4:$M$156,9,FALSE)&lt;&gt;"","Yes","No"),""),"")</f>
        <v>No</v>
      </c>
      <c r="J143" s="204"/>
      <c r="K143" s="203" t="str" cm="1">
        <f t="array" ref="K143">_xlfn.IFS((F143&gt;=GlobalSettings!$C$6),"No Remediation Needed",(F143&lt;GlobalSettings!$C$6)*(OR((I143=("No")),(J143=("")))),"Not Started",(F143&lt;GlobalSettings!$C$6)*(I143="Yes")*(OR((J143=""),(J143="Not Started"))),"Planned",(F143&lt;GlobalSettings!$C$6)*(I143="Yes")*(J143="In Process"),"In Progress")</f>
        <v>Not Started</v>
      </c>
    </row>
    <row r="144" spans="1:11" ht="30" x14ac:dyDescent="0.25">
      <c r="A144" s="190">
        <v>9</v>
      </c>
      <c r="B144" s="190">
        <v>2</v>
      </c>
      <c r="C144" s="195">
        <v>17.04</v>
      </c>
      <c r="D144" s="196" t="s">
        <v>306</v>
      </c>
      <c r="E144" s="197">
        <f>'Control 17'!G47</f>
        <v>0</v>
      </c>
      <c r="F144" s="198">
        <f>VLOOKUP(C144,ScoringTables!$B$3:$I$155,8,FALSE)</f>
        <v>0</v>
      </c>
      <c r="G144" s="198" t="str">
        <f>VLOOKUP(C144,ScoringTables!$B$3:$I$155,6,FALSE)</f>
        <v>High</v>
      </c>
      <c r="I144" s="203" t="str">
        <f>IFERROR(IF(F144&lt;GlobalSettings!$C$6,IF(VLOOKUP(C144,POAM!$D$4:$M$156,9,FALSE)&lt;&gt;"","Yes","No"),""),"")</f>
        <v>No</v>
      </c>
      <c r="J144" s="204"/>
      <c r="K144" s="203" t="str" cm="1">
        <f t="array" ref="K144">_xlfn.IFS((F144&gt;=GlobalSettings!$C$6),"No Remediation Needed",(F144&lt;GlobalSettings!$C$6)*(OR((I144=("No")),(J144=("")))),"Not Started",(F144&lt;GlobalSettings!$C$6)*(I144="Yes")*(OR((J144=""),(J144="Not Started"))),"Planned",(F144&lt;GlobalSettings!$C$6)*(I144="Yes")*(J144="In Process"),"In Progress")</f>
        <v>Not Started</v>
      </c>
    </row>
    <row r="145" spans="1:11" ht="30" x14ac:dyDescent="0.25">
      <c r="A145" s="190">
        <v>9</v>
      </c>
      <c r="B145" s="190">
        <v>2</v>
      </c>
      <c r="C145" s="195">
        <v>17.05</v>
      </c>
      <c r="D145" s="196" t="s">
        <v>307</v>
      </c>
      <c r="E145" s="197">
        <f>'Control 17'!G58</f>
        <v>0</v>
      </c>
      <c r="F145" s="198">
        <f>VLOOKUP(C145,ScoringTables!$B$3:$I$155,8,FALSE)</f>
        <v>0</v>
      </c>
      <c r="G145" s="198" t="str">
        <f>VLOOKUP(C145,ScoringTables!$B$3:$I$155,6,FALSE)</f>
        <v>Medium</v>
      </c>
      <c r="I145" s="203" t="str">
        <f>IFERROR(IF(F145&lt;GlobalSettings!$C$6,IF(VLOOKUP(C145,POAM!$D$4:$M$156,9,FALSE)&lt;&gt;"","Yes","No"),""),"")</f>
        <v>No</v>
      </c>
      <c r="J145" s="204"/>
      <c r="K145" s="203" t="str" cm="1">
        <f t="array" ref="K145">_xlfn.IFS((F145&gt;=GlobalSettings!$C$6),"No Remediation Needed",(F145&lt;GlobalSettings!$C$6)*(OR((I145=("No")),(J145=("")))),"Not Started",(F145&lt;GlobalSettings!$C$6)*(I145="Yes")*(OR((J145=""),(J145="Not Started"))),"Planned",(F145&lt;GlobalSettings!$C$6)*(I145="Yes")*(J145="In Process"),"In Progress")</f>
        <v>Not Started</v>
      </c>
    </row>
    <row r="146" spans="1:11" ht="45" x14ac:dyDescent="0.25">
      <c r="A146" s="190">
        <v>9</v>
      </c>
      <c r="B146" s="190">
        <v>2</v>
      </c>
      <c r="C146" s="195">
        <v>17.059999999999999</v>
      </c>
      <c r="D146" s="196" t="s">
        <v>308</v>
      </c>
      <c r="E146" s="197">
        <f>'Control 17'!G69</f>
        <v>0</v>
      </c>
      <c r="F146" s="198">
        <f>VLOOKUP(C146,ScoringTables!$B$3:$I$155,8,FALSE)</f>
        <v>0</v>
      </c>
      <c r="G146" s="198" t="str">
        <f>VLOOKUP(C146,ScoringTables!$B$3:$I$155,6,FALSE)</f>
        <v>Medium</v>
      </c>
      <c r="I146" s="203" t="str">
        <f>IFERROR(IF(F146&lt;GlobalSettings!$C$6,IF(VLOOKUP(C146,POAM!$D$4:$M$156,9,FALSE)&lt;&gt;"","Yes","No"),""),"")</f>
        <v>No</v>
      </c>
      <c r="J146" s="204"/>
      <c r="K146" s="203" t="str" cm="1">
        <f t="array" ref="K146">_xlfn.IFS((F146&gt;=GlobalSettings!$C$6),"No Remediation Needed",(F146&lt;GlobalSettings!$C$6)*(OR((I146=("No")),(J146=("")))),"Not Started",(F146&lt;GlobalSettings!$C$6)*(I146="Yes")*(OR((J146=""),(J146="Not Started"))),"Planned",(F146&lt;GlobalSettings!$C$6)*(I146="Yes")*(J146="In Process"),"In Progress")</f>
        <v>Not Started</v>
      </c>
    </row>
    <row r="147" spans="1:11" ht="30" x14ac:dyDescent="0.25">
      <c r="A147" s="190">
        <v>9</v>
      </c>
      <c r="B147" s="190">
        <v>2</v>
      </c>
      <c r="C147" s="195">
        <v>17.07</v>
      </c>
      <c r="D147" s="196" t="s">
        <v>309</v>
      </c>
      <c r="E147" s="197">
        <f>'Control 17'!G81</f>
        <v>0</v>
      </c>
      <c r="F147" s="198">
        <f>VLOOKUP(C147,ScoringTables!$B$3:$I$155,8,FALSE)</f>
        <v>0</v>
      </c>
      <c r="G147" s="198" t="str">
        <f>VLOOKUP(C147,ScoringTables!$B$3:$I$155,6,FALSE)</f>
        <v>Medium</v>
      </c>
      <c r="I147" s="203" t="str">
        <f>IFERROR(IF(F147&lt;GlobalSettings!$C$6,IF(VLOOKUP(C147,POAM!$D$4:$M$156,9,FALSE)&lt;&gt;"","Yes","No"),""),"")</f>
        <v>No</v>
      </c>
      <c r="J147" s="204"/>
      <c r="K147" s="203" t="str" cm="1">
        <f t="array" ref="K147">_xlfn.IFS((F147&gt;=GlobalSettings!$C$6),"No Remediation Needed",(F147&lt;GlobalSettings!$C$6)*(OR((I147=("No")),(J147=("")))),"Not Started",(F147&lt;GlobalSettings!$C$6)*(I147="Yes")*(OR((J147=""),(J147="Not Started"))),"Planned",(F147&lt;GlobalSettings!$C$6)*(I147="Yes")*(J147="In Process"),"In Progress")</f>
        <v>Not Started</v>
      </c>
    </row>
    <row r="148" spans="1:11" x14ac:dyDescent="0.25">
      <c r="A148" s="190">
        <v>9</v>
      </c>
      <c r="B148" s="190">
        <v>2</v>
      </c>
      <c r="C148" s="195">
        <v>17.079999999999998</v>
      </c>
      <c r="D148" s="196" t="s">
        <v>310</v>
      </c>
      <c r="E148" s="197">
        <f>'Control 17'!G91</f>
        <v>0</v>
      </c>
      <c r="F148" s="198">
        <f>VLOOKUP(C148,ScoringTables!$B$3:$I$155,8,FALSE)</f>
        <v>0</v>
      </c>
      <c r="G148" s="198" t="str">
        <f>VLOOKUP(C148,ScoringTables!$B$3:$I$155,6,FALSE)</f>
        <v>Medium</v>
      </c>
      <c r="I148" s="203" t="str">
        <f>IFERROR(IF(F148&lt;GlobalSettings!$C$6,IF(VLOOKUP(C148,POAM!$D$4:$M$156,9,FALSE)&lt;&gt;"","Yes","No"),""),"")</f>
        <v>No</v>
      </c>
      <c r="J148" s="204"/>
      <c r="K148" s="203" t="str" cm="1">
        <f t="array" ref="K148">_xlfn.IFS((F148&gt;=GlobalSettings!$C$6),"No Remediation Needed",(F148&lt;GlobalSettings!$C$6)*(OR((I148=("No")),(J148=("")))),"Not Started",(F148&lt;GlobalSettings!$C$6)*(I148="Yes")*(OR((J148=""),(J148="Not Started"))),"Planned",(F148&lt;GlobalSettings!$C$6)*(I148="Yes")*(J148="In Process"),"In Progress")</f>
        <v>Not Started</v>
      </c>
    </row>
    <row r="149" spans="1:11" ht="30" x14ac:dyDescent="0.25">
      <c r="A149" s="190">
        <v>9</v>
      </c>
      <c r="B149" s="190">
        <v>3</v>
      </c>
      <c r="C149" s="195">
        <v>17.09</v>
      </c>
      <c r="D149" s="196" t="s">
        <v>311</v>
      </c>
      <c r="E149" s="197">
        <f>'Control 17'!G104</f>
        <v>0</v>
      </c>
      <c r="F149" s="198">
        <f>VLOOKUP(C149,ScoringTables!$B$3:$I$155,8,FALSE)</f>
        <v>0</v>
      </c>
      <c r="G149" s="198" t="str">
        <f>VLOOKUP(C149,ScoringTables!$B$3:$I$155,6,FALSE)</f>
        <v>Medium</v>
      </c>
      <c r="I149" s="203" t="str">
        <f>IFERROR(IF(F149&lt;GlobalSettings!$C$6,IF(VLOOKUP(C149,POAM!$D$4:$M$156,9,FALSE)&lt;&gt;"","Yes","No"),""),"")</f>
        <v>No</v>
      </c>
      <c r="J149" s="204"/>
      <c r="K149" s="203" t="str" cm="1">
        <f t="array" ref="K149">_xlfn.IFS((F149&gt;=GlobalSettings!$C$6),"No Remediation Needed",(F149&lt;GlobalSettings!$C$6)*(OR((I149=("No")),(J149=("")))),"Not Started",(F149&lt;GlobalSettings!$C$6)*(I149="Yes")*(OR((J149=""),(J149="Not Started"))),"Planned",(F149&lt;GlobalSettings!$C$6)*(I149="Yes")*(J149="In Process"),"In Progress")</f>
        <v>Not Started</v>
      </c>
    </row>
    <row r="150" spans="1:11" ht="30" x14ac:dyDescent="0.25">
      <c r="A150" s="190">
        <v>9</v>
      </c>
      <c r="B150" s="190">
        <v>2</v>
      </c>
      <c r="C150" s="195">
        <v>18.010000000000002</v>
      </c>
      <c r="D150" s="196" t="s">
        <v>312</v>
      </c>
      <c r="E150" s="197">
        <f>'Control 18'!G16</f>
        <v>0</v>
      </c>
      <c r="F150" s="198">
        <f>VLOOKUP(C150,ScoringTables!$B$3:$I$155,8,FALSE)</f>
        <v>0</v>
      </c>
      <c r="G150" s="198" t="str">
        <f>VLOOKUP(C150,ScoringTables!$B$3:$I$155,6,FALSE)</f>
        <v>High</v>
      </c>
      <c r="I150" s="203" t="str">
        <f>IFERROR(IF(F150&lt;GlobalSettings!$C$6,IF(VLOOKUP(C150,POAM!$D$4:$M$156,9,FALSE)&lt;&gt;"","Yes","No"),""),"")</f>
        <v>No</v>
      </c>
      <c r="J150" s="204"/>
      <c r="K150" s="203" t="str" cm="1">
        <f t="array" ref="K150">_xlfn.IFS((F150&gt;=GlobalSettings!$C$6),"No Remediation Needed",(F150&lt;GlobalSettings!$C$6)*(OR((I150=("No")),(J150=("")))),"Not Started",(F150&lt;GlobalSettings!$C$6)*(I150="Yes")*(OR((J150=""),(J150="Not Started"))),"Planned",(F150&lt;GlobalSettings!$C$6)*(I150="Yes")*(J150="In Process"),"In Progress")</f>
        <v>Not Started</v>
      </c>
    </row>
    <row r="151" spans="1:11" ht="30" x14ac:dyDescent="0.25">
      <c r="A151" s="190">
        <v>0</v>
      </c>
      <c r="B151" s="190">
        <v>2</v>
      </c>
      <c r="C151" s="195">
        <v>18.02</v>
      </c>
      <c r="D151" s="196" t="s">
        <v>313</v>
      </c>
      <c r="E151" s="197">
        <f>'Control 18'!G22</f>
        <v>0</v>
      </c>
      <c r="F151" s="198">
        <f>VLOOKUP(C151,ScoringTables!$B$3:$I$155,8,FALSE)</f>
        <v>0</v>
      </c>
      <c r="G151" s="198" t="str">
        <f>VLOOKUP(C151,ScoringTables!$B$3:$I$155,6,FALSE)</f>
        <v>High</v>
      </c>
      <c r="I151" s="203" t="str">
        <f>IFERROR(IF(F151&lt;GlobalSettings!$C$6,IF(VLOOKUP(C151,POAM!$D$4:$M$156,9,FALSE)&lt;&gt;"","Yes","No"),""),"")</f>
        <v>No</v>
      </c>
      <c r="J151" s="204"/>
      <c r="K151" s="203" t="str" cm="1">
        <f t="array" ref="K151">_xlfn.IFS((F151&gt;=GlobalSettings!$C$6),"No Remediation Needed",(F151&lt;GlobalSettings!$C$6)*(OR((I151=("No")),(J151=("")))),"Not Started",(F151&lt;GlobalSettings!$C$6)*(I151="Yes")*(OR((J151=""),(J151="Not Started"))),"Planned",(F151&lt;GlobalSettings!$C$6)*(I151="Yes")*(J151="In Process"),"In Progress")</f>
        <v>Not Started</v>
      </c>
    </row>
    <row r="152" spans="1:11" ht="30" x14ac:dyDescent="0.25">
      <c r="A152" s="190">
        <v>9</v>
      </c>
      <c r="B152" s="190">
        <v>2</v>
      </c>
      <c r="C152" s="195">
        <v>18.03</v>
      </c>
      <c r="D152" s="196" t="s">
        <v>314</v>
      </c>
      <c r="E152" s="197">
        <f>'Control 18'!G33</f>
        <v>0</v>
      </c>
      <c r="F152" s="198">
        <f>VLOOKUP(C152,ScoringTables!$B$3:$I$155,8,FALSE)</f>
        <v>0</v>
      </c>
      <c r="G152" s="198" t="str">
        <f>VLOOKUP(C152,ScoringTables!$B$3:$I$155,6,FALSE)</f>
        <v>Critical</v>
      </c>
      <c r="I152" s="203" t="str">
        <f>IFERROR(IF(F152&lt;GlobalSettings!$C$6,IF(VLOOKUP(C152,POAM!$D$4:$M$156,9,FALSE)&lt;&gt;"","Yes","No"),""),"")</f>
        <v>No</v>
      </c>
      <c r="J152" s="204"/>
      <c r="K152" s="203" t="str" cm="1">
        <f t="array" ref="K152">_xlfn.IFS((F152&gt;=GlobalSettings!$C$6),"No Remediation Needed",(F152&lt;GlobalSettings!$C$6)*(OR((I152=("No")),(J152=("")))),"Not Started",(F152&lt;GlobalSettings!$C$6)*(I152="Yes")*(OR((J152=""),(J152="Not Started"))),"Planned",(F152&lt;GlobalSettings!$C$6)*(I152="Yes")*(J152="In Process"),"In Progress")</f>
        <v>Not Started</v>
      </c>
    </row>
    <row r="153" spans="1:11" x14ac:dyDescent="0.25">
      <c r="A153" s="190">
        <v>9</v>
      </c>
      <c r="B153" s="190">
        <v>3</v>
      </c>
      <c r="C153" s="195">
        <v>18.04</v>
      </c>
      <c r="D153" s="196" t="s">
        <v>315</v>
      </c>
      <c r="E153" s="197">
        <f>'Control 18'!G43</f>
        <v>0</v>
      </c>
      <c r="F153" s="198">
        <f>VLOOKUP(C153,ScoringTables!$B$3:$I$155,8,FALSE)</f>
        <v>0</v>
      </c>
      <c r="G153" s="198" t="str">
        <f>VLOOKUP(C153,ScoringTables!$B$3:$I$155,6,FALSE)</f>
        <v>Medium</v>
      </c>
      <c r="I153" s="203" t="str">
        <f>IFERROR(IF(F153&lt;GlobalSettings!$C$6,IF(VLOOKUP(C153,POAM!$D$4:$M$156,9,FALSE)&lt;&gt;"","Yes","No"),""),"")</f>
        <v>No</v>
      </c>
      <c r="J153" s="204"/>
      <c r="K153" s="203" t="str" cm="1">
        <f t="array" ref="K153">_xlfn.IFS((F153&gt;=GlobalSettings!$C$6),"No Remediation Needed",(F153&lt;GlobalSettings!$C$6)*(OR((I153=("No")),(J153=("")))),"Not Started",(F153&lt;GlobalSettings!$C$6)*(I153="Yes")*(OR((J153=""),(J153="Not Started"))),"Planned",(F153&lt;GlobalSettings!$C$6)*(I153="Yes")*(J153="In Process"),"In Progress")</f>
        <v>Not Started</v>
      </c>
    </row>
    <row r="154" spans="1:11" ht="30" x14ac:dyDescent="0.25">
      <c r="A154" s="190">
        <v>9</v>
      </c>
      <c r="B154" s="190">
        <v>3</v>
      </c>
      <c r="C154" s="195">
        <v>18.05</v>
      </c>
      <c r="D154" s="196" t="s">
        <v>316</v>
      </c>
      <c r="E154" s="197">
        <f>'Control 18'!G49</f>
        <v>0</v>
      </c>
      <c r="F154" s="198">
        <f>VLOOKUP(C154,ScoringTables!$B$3:$I$155,8,FALSE)</f>
        <v>0</v>
      </c>
      <c r="G154" s="198" t="str">
        <f>VLOOKUP(C154,ScoringTables!$B$3:$I$155,6,FALSE)</f>
        <v>Critical</v>
      </c>
      <c r="I154" s="203" t="str">
        <f>IFERROR(IF(F154&lt;GlobalSettings!$C$6,IF(VLOOKUP(C154,POAM!$D$4:$M$156,9,FALSE)&lt;&gt;"","Yes","No"),""),"")</f>
        <v>No</v>
      </c>
      <c r="J154" s="204"/>
      <c r="K154" s="203" t="str" cm="1">
        <f t="array" ref="K154">_xlfn.IFS((F154&gt;=GlobalSettings!$C$6),"No Remediation Needed",(F154&lt;GlobalSettings!$C$6)*(OR((I154=("No")),(J154=("")))),"Not Started",(F154&lt;GlobalSettings!$C$6)*(I154="Yes")*(OR((J154=""),(J154="Not Started"))),"Planned",(F154&lt;GlobalSettings!$C$6)*(I154="Yes")*(J154="In Process"),"In Progress")</f>
        <v>Not Started</v>
      </c>
    </row>
  </sheetData>
  <sheetProtection algorithmName="SHA-512" hashValue="q336UxLvVA1WM+fid6CvSA2LQ//Czh6ImGXAUYhW4uKXoLtPALhcsuJ7zqFhH+9KUjbyvEVcBkmOBRGzUmKq0g==" saltValue="IyyTmnUVQwEF7Q4ma+4//w==" spinCount="100000" sheet="1" formatRows="0" sort="0" autoFilter="0"/>
  <autoFilter ref="A1:G154" xr:uid="{0D761B0B-DE06-49C5-A232-A7E0425F78FC}"/>
  <conditionalFormatting sqref="K1:K1048576">
    <cfRule type="containsText" dxfId="0" priority="1" operator="containsText" text="Not Started">
      <formula>NOT(ISERROR(SEARCH("Not Started",K1)))</formula>
    </cfRule>
  </conditionalFormatting>
  <dataValidations count="1">
    <dataValidation type="list" allowBlank="1" showInputMessage="1" showErrorMessage="1" sqref="J2:J154" xr:uid="{F1F2EC06-3246-4506-90C0-C288E2810F17}">
      <formula1>"Not Started,In Process"</formula1>
    </dataValidation>
  </dataValidations>
  <pageMargins left="0.5" right="0.5" top="0.75" bottom="0.75" header="0" footer="0"/>
  <pageSetup orientation="landscape"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E588-3E80-44CB-9A1D-33136BE5D52D}">
  <dimension ref="A1:Q156"/>
  <sheetViews>
    <sheetView topLeftCell="I1" zoomScaleNormal="100" workbookViewId="0">
      <selection activeCell="K4" sqref="K4"/>
    </sheetView>
  </sheetViews>
  <sheetFormatPr defaultRowHeight="15" x14ac:dyDescent="0.25"/>
  <cols>
    <col min="1" max="2" width="9.140625" style="168"/>
    <col min="3" max="4" width="15.7109375" style="179" customWidth="1"/>
    <col min="5" max="6" width="90.7109375" style="179" customWidth="1"/>
    <col min="7" max="7" width="15.7109375" style="179" customWidth="1"/>
    <col min="8" max="8" width="15.7109375" style="181" customWidth="1"/>
    <col min="9" max="10" width="15.7109375" style="179" customWidth="1"/>
    <col min="11" max="12" width="30.7109375" style="179" customWidth="1"/>
    <col min="13" max="13" width="60.7109375" style="179" customWidth="1"/>
    <col min="14" max="16" width="30.7109375" style="179" customWidth="1"/>
    <col min="17" max="17" width="15.7109375" style="179" customWidth="1"/>
    <col min="18" max="16384" width="9.140625" style="179"/>
  </cols>
  <sheetData>
    <row r="1" spans="1:17" s="167" customFormat="1" ht="46.5" thickTop="1" thickBot="1" x14ac:dyDescent="0.3">
      <c r="A1" s="163" t="s">
        <v>2054</v>
      </c>
      <c r="B1" s="163" t="s">
        <v>2055</v>
      </c>
      <c r="C1" s="164" t="s">
        <v>2125</v>
      </c>
      <c r="D1" s="164" t="s">
        <v>126</v>
      </c>
      <c r="E1" s="164" t="s">
        <v>2126</v>
      </c>
      <c r="F1" s="164" t="s">
        <v>2127</v>
      </c>
      <c r="G1" s="164" t="s">
        <v>130</v>
      </c>
      <c r="H1" s="165" t="s">
        <v>2128</v>
      </c>
      <c r="I1" s="166" t="s">
        <v>2129</v>
      </c>
      <c r="J1" s="166" t="s">
        <v>2130</v>
      </c>
      <c r="K1" s="164" t="s">
        <v>2131</v>
      </c>
      <c r="L1" s="164" t="s">
        <v>2122</v>
      </c>
      <c r="M1" s="164" t="s">
        <v>2132</v>
      </c>
      <c r="N1" s="164" t="s">
        <v>2133</v>
      </c>
      <c r="O1" s="164" t="s">
        <v>2134</v>
      </c>
      <c r="P1" s="164" t="s">
        <v>2135</v>
      </c>
      <c r="Q1" s="166" t="s">
        <v>2136</v>
      </c>
    </row>
    <row r="2" spans="1:17" s="172" customFormat="1" ht="75" x14ac:dyDescent="0.25">
      <c r="A2" s="168">
        <v>0</v>
      </c>
      <c r="B2" s="168">
        <v>1</v>
      </c>
      <c r="C2" s="169" t="s">
        <v>2137</v>
      </c>
      <c r="D2" s="169" t="s">
        <v>2138</v>
      </c>
      <c r="E2" s="169" t="s">
        <v>2139</v>
      </c>
      <c r="F2" s="169" t="s">
        <v>2140</v>
      </c>
      <c r="G2" s="169" t="s">
        <v>2141</v>
      </c>
      <c r="H2" s="170" t="s">
        <v>2142</v>
      </c>
      <c r="I2" s="171" t="s">
        <v>2143</v>
      </c>
      <c r="J2" s="171" t="s">
        <v>2144</v>
      </c>
      <c r="K2" s="169" t="s">
        <v>2145</v>
      </c>
      <c r="L2" s="169" t="s">
        <v>2146</v>
      </c>
      <c r="M2" s="169" t="s">
        <v>2147</v>
      </c>
      <c r="N2" s="169" t="s">
        <v>2148</v>
      </c>
      <c r="O2" s="169" t="s">
        <v>2149</v>
      </c>
      <c r="P2" s="169" t="s">
        <v>2150</v>
      </c>
      <c r="Q2" s="171" t="s">
        <v>2151</v>
      </c>
    </row>
    <row r="3" spans="1:17" s="172" customFormat="1" ht="180" x14ac:dyDescent="0.25">
      <c r="A3" s="168">
        <v>0</v>
      </c>
      <c r="B3" s="168">
        <v>1</v>
      </c>
      <c r="C3" s="173" t="s">
        <v>2152</v>
      </c>
      <c r="D3" s="174">
        <v>1.01</v>
      </c>
      <c r="E3" s="173" t="s">
        <v>2153</v>
      </c>
      <c r="F3" s="173" t="s">
        <v>2154</v>
      </c>
      <c r="G3" s="173" t="s">
        <v>2155</v>
      </c>
      <c r="H3" s="175">
        <v>0.59599999999999997</v>
      </c>
      <c r="I3" s="176">
        <v>45657</v>
      </c>
      <c r="J3" s="176">
        <f>IF(G3="Critical",I3+30,IF(G3="High",I3+90,IF(G3="Medium",I3+180,IF(G3="Low",I3+365,IF(G3="Info","Info","")))))</f>
        <v>45687</v>
      </c>
      <c r="K3" s="173" t="s">
        <v>2156</v>
      </c>
      <c r="L3" s="173" t="s">
        <v>2157</v>
      </c>
      <c r="M3" s="173" t="s">
        <v>2158</v>
      </c>
      <c r="N3" s="173" t="s">
        <v>2159</v>
      </c>
      <c r="O3" s="173"/>
      <c r="P3" s="173" t="s">
        <v>2160</v>
      </c>
      <c r="Q3" s="176">
        <v>45688</v>
      </c>
    </row>
    <row r="4" spans="1:17" x14ac:dyDescent="0.25">
      <c r="A4" s="168">
        <v>0</v>
      </c>
      <c r="B4" s="168">
        <v>1</v>
      </c>
      <c r="C4" s="177"/>
      <c r="D4" s="178">
        <v>1.01</v>
      </c>
      <c r="E4" s="172">
        <f>Summary!E2</f>
        <v>0</v>
      </c>
      <c r="G4" s="180" t="str">
        <f>Summary!G2</f>
        <v>Critical</v>
      </c>
      <c r="H4" s="181">
        <f>Summary!F2</f>
        <v>0</v>
      </c>
      <c r="I4" s="182">
        <f>GlobalSettings!$C$14</f>
        <v>45930</v>
      </c>
      <c r="J4" s="182">
        <f>IF(G4="Critical",I4+30,IF(G4="High",I4+90,IF(G4="Medium",I4+180,IF(G4="Low",I4+365,IF(G4="Info","Info","")))))</f>
        <v>45960</v>
      </c>
      <c r="K4" s="177"/>
      <c r="L4" s="177"/>
      <c r="M4" s="177"/>
      <c r="N4" s="177"/>
      <c r="O4" s="177"/>
      <c r="P4" s="177"/>
      <c r="Q4" s="177"/>
    </row>
    <row r="5" spans="1:17" x14ac:dyDescent="0.25">
      <c r="A5" s="168">
        <v>0</v>
      </c>
      <c r="B5" s="168">
        <v>1</v>
      </c>
      <c r="C5" s="177"/>
      <c r="D5" s="178">
        <v>1.02</v>
      </c>
      <c r="E5" s="172">
        <f>Summary!E3</f>
        <v>0</v>
      </c>
      <c r="G5" s="180" t="str">
        <f>Summary!G3</f>
        <v>Medium</v>
      </c>
      <c r="H5" s="181">
        <f>Summary!F3</f>
        <v>0</v>
      </c>
      <c r="I5" s="182">
        <f>GlobalSettings!$C$14</f>
        <v>45930</v>
      </c>
      <c r="J5" s="182">
        <f t="shared" ref="J5:J68" si="0">IF(G5="Critical",I5+30,IF(G5="High",I5+90,IF(G5="Medium",I5+180,IF(G5="Low",I5+365,IF(G5="Info","Info","")))))</f>
        <v>46110</v>
      </c>
      <c r="K5" s="177"/>
      <c r="L5" s="183"/>
      <c r="M5" s="177"/>
      <c r="N5" s="177"/>
      <c r="O5" s="177"/>
      <c r="P5" s="177"/>
      <c r="Q5" s="177"/>
    </row>
    <row r="6" spans="1:17" x14ac:dyDescent="0.25">
      <c r="A6" s="168">
        <v>9</v>
      </c>
      <c r="B6" s="168">
        <v>2</v>
      </c>
      <c r="C6" s="177"/>
      <c r="D6" s="178">
        <v>1.03</v>
      </c>
      <c r="E6" s="172">
        <f>Summary!E4</f>
        <v>0</v>
      </c>
      <c r="G6" s="180" t="str">
        <f>Summary!G4</f>
        <v>Medium</v>
      </c>
      <c r="H6" s="181">
        <f>Summary!F4</f>
        <v>0</v>
      </c>
      <c r="I6" s="182">
        <f>GlobalSettings!$C$14</f>
        <v>45930</v>
      </c>
      <c r="J6" s="182">
        <f t="shared" si="0"/>
        <v>46110</v>
      </c>
      <c r="K6" s="177"/>
      <c r="L6" s="177"/>
      <c r="M6" s="177"/>
      <c r="N6" s="177"/>
      <c r="O6" s="177"/>
      <c r="P6" s="177"/>
      <c r="Q6" s="177"/>
    </row>
    <row r="7" spans="1:17" x14ac:dyDescent="0.25">
      <c r="A7" s="168">
        <v>9</v>
      </c>
      <c r="B7" s="168">
        <v>2</v>
      </c>
      <c r="C7" s="177"/>
      <c r="D7" s="178">
        <v>1.04</v>
      </c>
      <c r="E7" s="172">
        <f>Summary!E5</f>
        <v>0</v>
      </c>
      <c r="G7" s="180" t="str">
        <f>Summary!G5</f>
        <v>Medium</v>
      </c>
      <c r="H7" s="181">
        <f>Summary!F5</f>
        <v>0</v>
      </c>
      <c r="I7" s="182">
        <f>GlobalSettings!$C$14</f>
        <v>45930</v>
      </c>
      <c r="J7" s="182">
        <f t="shared" si="0"/>
        <v>46110</v>
      </c>
      <c r="K7" s="177"/>
      <c r="L7" s="177"/>
      <c r="M7" s="177"/>
      <c r="N7" s="177"/>
      <c r="O7" s="177"/>
      <c r="P7" s="177"/>
      <c r="Q7" s="177"/>
    </row>
    <row r="8" spans="1:17" x14ac:dyDescent="0.25">
      <c r="A8" s="168">
        <v>9</v>
      </c>
      <c r="B8" s="168">
        <v>3</v>
      </c>
      <c r="C8" s="177"/>
      <c r="D8" s="178">
        <v>1.05</v>
      </c>
      <c r="E8" s="172">
        <f>Summary!E6</f>
        <v>0</v>
      </c>
      <c r="G8" s="180" t="str">
        <f>Summary!G6</f>
        <v>Medium</v>
      </c>
      <c r="H8" s="181">
        <f>Summary!F6</f>
        <v>0</v>
      </c>
      <c r="I8" s="182">
        <f>GlobalSettings!$C$14</f>
        <v>45930</v>
      </c>
      <c r="J8" s="182">
        <f t="shared" si="0"/>
        <v>46110</v>
      </c>
      <c r="K8" s="177"/>
      <c r="L8" s="177"/>
      <c r="M8" s="177"/>
      <c r="N8" s="177"/>
      <c r="O8" s="177"/>
      <c r="P8" s="177"/>
      <c r="Q8" s="177"/>
    </row>
    <row r="9" spans="1:17" x14ac:dyDescent="0.25">
      <c r="A9" s="168">
        <v>0</v>
      </c>
      <c r="B9" s="168">
        <v>1</v>
      </c>
      <c r="C9" s="177"/>
      <c r="D9" s="178">
        <v>2.0099999999999998</v>
      </c>
      <c r="E9" s="172">
        <f>Summary!E7</f>
        <v>0</v>
      </c>
      <c r="G9" s="180" t="str">
        <f>Summary!G7</f>
        <v>Critical</v>
      </c>
      <c r="H9" s="181">
        <f>Summary!F7</f>
        <v>0</v>
      </c>
      <c r="I9" s="182">
        <f>GlobalSettings!$C$14</f>
        <v>45930</v>
      </c>
      <c r="J9" s="182">
        <f t="shared" si="0"/>
        <v>45960</v>
      </c>
      <c r="K9" s="177"/>
      <c r="L9" s="177"/>
      <c r="M9" s="177"/>
      <c r="N9" s="177"/>
      <c r="O9" s="177"/>
      <c r="P9" s="177"/>
      <c r="Q9" s="177"/>
    </row>
    <row r="10" spans="1:17" x14ac:dyDescent="0.25">
      <c r="A10" s="168">
        <v>0</v>
      </c>
      <c r="B10" s="168">
        <v>1</v>
      </c>
      <c r="C10" s="177"/>
      <c r="D10" s="178">
        <v>2.02</v>
      </c>
      <c r="E10" s="172">
        <f>Summary!E8</f>
        <v>0</v>
      </c>
      <c r="G10" s="180" t="str">
        <f>Summary!G8</f>
        <v>Medium</v>
      </c>
      <c r="H10" s="181">
        <f>Summary!F8</f>
        <v>0</v>
      </c>
      <c r="I10" s="182">
        <f>GlobalSettings!$C$14</f>
        <v>45930</v>
      </c>
      <c r="J10" s="182">
        <f t="shared" si="0"/>
        <v>46110</v>
      </c>
      <c r="K10" s="177"/>
      <c r="L10" s="177"/>
      <c r="M10" s="177"/>
      <c r="N10" s="177"/>
      <c r="O10" s="177"/>
      <c r="P10" s="177"/>
      <c r="Q10" s="177"/>
    </row>
    <row r="11" spans="1:17" x14ac:dyDescent="0.25">
      <c r="A11" s="168">
        <v>0</v>
      </c>
      <c r="B11" s="168">
        <v>1</v>
      </c>
      <c r="C11" s="177"/>
      <c r="D11" s="178">
        <v>2.0299999999999998</v>
      </c>
      <c r="E11" s="172">
        <f>Summary!E9</f>
        <v>0</v>
      </c>
      <c r="G11" s="180" t="str">
        <f>Summary!G9</f>
        <v>High</v>
      </c>
      <c r="H11" s="181">
        <f>Summary!F9</f>
        <v>0</v>
      </c>
      <c r="I11" s="182">
        <f>GlobalSettings!$C$14</f>
        <v>45930</v>
      </c>
      <c r="J11" s="182">
        <f t="shared" si="0"/>
        <v>46020</v>
      </c>
      <c r="K11" s="177"/>
      <c r="L11" s="177"/>
      <c r="M11" s="177"/>
      <c r="N11" s="177"/>
      <c r="O11" s="177"/>
      <c r="P11" s="177"/>
      <c r="Q11" s="177"/>
    </row>
    <row r="12" spans="1:17" x14ac:dyDescent="0.25">
      <c r="A12" s="168">
        <v>0</v>
      </c>
      <c r="B12" s="168">
        <v>2</v>
      </c>
      <c r="C12" s="177"/>
      <c r="D12" s="178">
        <v>2.04</v>
      </c>
      <c r="E12" s="172">
        <f>Summary!E10</f>
        <v>0</v>
      </c>
      <c r="G12" s="180" t="str">
        <f>Summary!G10</f>
        <v>Medium</v>
      </c>
      <c r="H12" s="181">
        <f>Summary!F10</f>
        <v>0</v>
      </c>
      <c r="I12" s="182">
        <f>GlobalSettings!$C$14</f>
        <v>45930</v>
      </c>
      <c r="J12" s="182">
        <f t="shared" si="0"/>
        <v>46110</v>
      </c>
      <c r="K12" s="177"/>
      <c r="L12" s="177"/>
      <c r="M12" s="177"/>
      <c r="N12" s="177"/>
      <c r="O12" s="177"/>
      <c r="P12" s="177"/>
      <c r="Q12" s="177"/>
    </row>
    <row r="13" spans="1:17" x14ac:dyDescent="0.25">
      <c r="A13" s="168">
        <v>9</v>
      </c>
      <c r="B13" s="168">
        <v>2</v>
      </c>
      <c r="C13" s="177"/>
      <c r="D13" s="178">
        <v>2.0499999999999998</v>
      </c>
      <c r="E13" s="172">
        <f>Summary!E11</f>
        <v>0</v>
      </c>
      <c r="G13" s="180" t="str">
        <f>Summary!G11</f>
        <v>High</v>
      </c>
      <c r="H13" s="181">
        <f>Summary!F11</f>
        <v>0</v>
      </c>
      <c r="I13" s="182">
        <f>GlobalSettings!$C$14</f>
        <v>45930</v>
      </c>
      <c r="J13" s="182">
        <f t="shared" si="0"/>
        <v>46020</v>
      </c>
      <c r="K13" s="177"/>
      <c r="L13" s="177"/>
      <c r="M13" s="177"/>
      <c r="N13" s="177"/>
      <c r="O13" s="177"/>
      <c r="P13" s="177"/>
      <c r="Q13" s="177"/>
    </row>
    <row r="14" spans="1:17" x14ac:dyDescent="0.25">
      <c r="A14" s="168">
        <v>9</v>
      </c>
      <c r="B14" s="168">
        <v>2</v>
      </c>
      <c r="C14" s="177"/>
      <c r="D14" s="178">
        <v>2.06</v>
      </c>
      <c r="E14" s="172">
        <f>Summary!E12</f>
        <v>0</v>
      </c>
      <c r="G14" s="180" t="str">
        <f>Summary!G12</f>
        <v>High</v>
      </c>
      <c r="H14" s="181">
        <f>Summary!F12</f>
        <v>0</v>
      </c>
      <c r="I14" s="182">
        <f>GlobalSettings!$C$14</f>
        <v>45930</v>
      </c>
      <c r="J14" s="182">
        <f t="shared" si="0"/>
        <v>46020</v>
      </c>
      <c r="K14" s="177"/>
      <c r="L14" s="177"/>
      <c r="M14" s="177"/>
      <c r="N14" s="177"/>
      <c r="O14" s="177"/>
      <c r="P14" s="177"/>
      <c r="Q14" s="177"/>
    </row>
    <row r="15" spans="1:17" x14ac:dyDescent="0.25">
      <c r="A15" s="168">
        <v>9</v>
      </c>
      <c r="B15" s="168">
        <v>3</v>
      </c>
      <c r="C15" s="177"/>
      <c r="D15" s="178">
        <v>2.0699999999999998</v>
      </c>
      <c r="E15" s="172">
        <f>Summary!E13</f>
        <v>0</v>
      </c>
      <c r="G15" s="180" t="str">
        <f>Summary!G13</f>
        <v>High</v>
      </c>
      <c r="H15" s="181">
        <f>Summary!F13</f>
        <v>0</v>
      </c>
      <c r="I15" s="182">
        <f>GlobalSettings!$C$14</f>
        <v>45930</v>
      </c>
      <c r="J15" s="182">
        <f t="shared" si="0"/>
        <v>46020</v>
      </c>
      <c r="K15" s="177"/>
      <c r="L15" s="177"/>
      <c r="M15" s="177"/>
      <c r="N15" s="177"/>
      <c r="O15" s="177"/>
      <c r="P15" s="177"/>
      <c r="Q15" s="177"/>
    </row>
    <row r="16" spans="1:17" x14ac:dyDescent="0.25">
      <c r="A16" s="168">
        <v>0</v>
      </c>
      <c r="B16" s="168">
        <v>1</v>
      </c>
      <c r="C16" s="177"/>
      <c r="D16" s="178">
        <v>3.01</v>
      </c>
      <c r="E16" s="172">
        <f>Summary!E14</f>
        <v>0</v>
      </c>
      <c r="G16" s="180" t="str">
        <f>Summary!G14</f>
        <v>High</v>
      </c>
      <c r="H16" s="181">
        <f>Summary!F14</f>
        <v>0</v>
      </c>
      <c r="I16" s="182">
        <f>GlobalSettings!$C$14</f>
        <v>45930</v>
      </c>
      <c r="J16" s="182">
        <f t="shared" si="0"/>
        <v>46020</v>
      </c>
      <c r="K16" s="177"/>
      <c r="L16" s="177"/>
      <c r="M16" s="177"/>
      <c r="N16" s="177"/>
      <c r="O16" s="177"/>
      <c r="P16" s="177"/>
      <c r="Q16" s="177"/>
    </row>
    <row r="17" spans="1:17" x14ac:dyDescent="0.25">
      <c r="A17" s="168">
        <v>0</v>
      </c>
      <c r="B17" s="168">
        <v>1</v>
      </c>
      <c r="C17" s="177"/>
      <c r="D17" s="178">
        <v>3.02</v>
      </c>
      <c r="E17" s="172">
        <f>Summary!E15</f>
        <v>0</v>
      </c>
      <c r="G17" s="180" t="str">
        <f>Summary!G15</f>
        <v>High</v>
      </c>
      <c r="H17" s="181">
        <f>Summary!F15</f>
        <v>0</v>
      </c>
      <c r="I17" s="182">
        <f>GlobalSettings!$C$14</f>
        <v>45930</v>
      </c>
      <c r="J17" s="182">
        <f t="shared" si="0"/>
        <v>46020</v>
      </c>
      <c r="K17" s="177"/>
      <c r="L17" s="177"/>
      <c r="M17" s="177"/>
      <c r="N17" s="177"/>
      <c r="O17" s="177"/>
      <c r="P17" s="177"/>
      <c r="Q17" s="177"/>
    </row>
    <row r="18" spans="1:17" x14ac:dyDescent="0.25">
      <c r="A18" s="168">
        <v>9</v>
      </c>
      <c r="B18" s="168">
        <v>1</v>
      </c>
      <c r="C18" s="177"/>
      <c r="D18" s="178">
        <v>3.03</v>
      </c>
      <c r="E18" s="172">
        <f>Summary!E16</f>
        <v>0</v>
      </c>
      <c r="G18" s="180" t="str">
        <f>Summary!G16</f>
        <v>High</v>
      </c>
      <c r="H18" s="181">
        <f>Summary!F16</f>
        <v>0</v>
      </c>
      <c r="I18" s="182">
        <f>GlobalSettings!$C$14</f>
        <v>45930</v>
      </c>
      <c r="J18" s="182">
        <f t="shared" si="0"/>
        <v>46020</v>
      </c>
      <c r="K18" s="177"/>
      <c r="L18" s="177"/>
      <c r="M18" s="177"/>
      <c r="N18" s="177"/>
      <c r="O18" s="177"/>
      <c r="P18" s="177"/>
      <c r="Q18" s="177"/>
    </row>
    <row r="19" spans="1:17" x14ac:dyDescent="0.25">
      <c r="A19" s="168">
        <v>0</v>
      </c>
      <c r="B19" s="168">
        <v>1</v>
      </c>
      <c r="C19" s="177"/>
      <c r="D19" s="178">
        <v>3.04</v>
      </c>
      <c r="E19" s="172">
        <f>Summary!E17</f>
        <v>0</v>
      </c>
      <c r="G19" s="180" t="str">
        <f>Summary!G17</f>
        <v>High</v>
      </c>
      <c r="H19" s="181">
        <f>Summary!F17</f>
        <v>0</v>
      </c>
      <c r="I19" s="182">
        <f>GlobalSettings!$C$14</f>
        <v>45930</v>
      </c>
      <c r="J19" s="182">
        <f t="shared" si="0"/>
        <v>46020</v>
      </c>
      <c r="K19" s="177"/>
      <c r="L19" s="177"/>
      <c r="M19" s="177"/>
      <c r="N19" s="177"/>
      <c r="O19" s="177"/>
      <c r="P19" s="177"/>
      <c r="Q19" s="177"/>
    </row>
    <row r="20" spans="1:17" x14ac:dyDescent="0.25">
      <c r="A20" s="168">
        <v>0</v>
      </c>
      <c r="B20" s="168">
        <v>1</v>
      </c>
      <c r="C20" s="177"/>
      <c r="D20" s="178">
        <v>3.05</v>
      </c>
      <c r="E20" s="172">
        <f>Summary!E18</f>
        <v>0</v>
      </c>
      <c r="G20" s="180" t="str">
        <f>Summary!G18</f>
        <v>Medium</v>
      </c>
      <c r="H20" s="181">
        <f>Summary!F18</f>
        <v>0</v>
      </c>
      <c r="I20" s="182">
        <f>GlobalSettings!$C$14</f>
        <v>45930</v>
      </c>
      <c r="J20" s="182">
        <f t="shared" si="0"/>
        <v>46110</v>
      </c>
      <c r="K20" s="177"/>
      <c r="L20" s="177"/>
      <c r="M20" s="177"/>
      <c r="N20" s="177"/>
      <c r="O20" s="177"/>
      <c r="P20" s="177"/>
      <c r="Q20" s="177"/>
    </row>
    <row r="21" spans="1:17" x14ac:dyDescent="0.25">
      <c r="A21" s="168">
        <v>0</v>
      </c>
      <c r="B21" s="168">
        <v>1</v>
      </c>
      <c r="C21" s="177"/>
      <c r="D21" s="178">
        <v>3.06</v>
      </c>
      <c r="E21" s="172">
        <f>Summary!E19</f>
        <v>0</v>
      </c>
      <c r="G21" s="180" t="str">
        <f>Summary!G19</f>
        <v>Medium</v>
      </c>
      <c r="H21" s="181">
        <f>Summary!F19</f>
        <v>0</v>
      </c>
      <c r="I21" s="182">
        <f>GlobalSettings!$C$14</f>
        <v>45930</v>
      </c>
      <c r="J21" s="182">
        <f t="shared" si="0"/>
        <v>46110</v>
      </c>
      <c r="K21" s="177"/>
      <c r="L21" s="177"/>
      <c r="M21" s="177"/>
      <c r="N21" s="177"/>
      <c r="O21" s="177"/>
      <c r="P21" s="177"/>
      <c r="Q21" s="177"/>
    </row>
    <row r="22" spans="1:17" x14ac:dyDescent="0.25">
      <c r="A22" s="168">
        <v>0</v>
      </c>
      <c r="B22" s="168">
        <v>2</v>
      </c>
      <c r="C22" s="177"/>
      <c r="D22" s="178">
        <v>3.07</v>
      </c>
      <c r="E22" s="172">
        <f>Summary!E20</f>
        <v>0</v>
      </c>
      <c r="G22" s="180" t="str">
        <f>Summary!G20</f>
        <v>Medium</v>
      </c>
      <c r="H22" s="181">
        <f>Summary!F20</f>
        <v>0</v>
      </c>
      <c r="I22" s="182">
        <f>GlobalSettings!$C$14</f>
        <v>45930</v>
      </c>
      <c r="J22" s="182">
        <f t="shared" si="0"/>
        <v>46110</v>
      </c>
      <c r="K22" s="177"/>
      <c r="L22" s="177"/>
      <c r="M22" s="177"/>
      <c r="N22" s="177"/>
      <c r="O22" s="177"/>
      <c r="P22" s="177"/>
      <c r="Q22" s="177"/>
    </row>
    <row r="23" spans="1:17" x14ac:dyDescent="0.25">
      <c r="A23" s="168">
        <v>9</v>
      </c>
      <c r="B23" s="168">
        <v>2</v>
      </c>
      <c r="C23" s="177"/>
      <c r="D23" s="178">
        <v>3.08</v>
      </c>
      <c r="E23" s="172">
        <f>Summary!E21</f>
        <v>0</v>
      </c>
      <c r="G23" s="180" t="str">
        <f>Summary!G21</f>
        <v>Medium</v>
      </c>
      <c r="H23" s="181">
        <f>Summary!F21</f>
        <v>0</v>
      </c>
      <c r="I23" s="182">
        <f>GlobalSettings!$C$14</f>
        <v>45930</v>
      </c>
      <c r="J23" s="182">
        <f t="shared" si="0"/>
        <v>46110</v>
      </c>
      <c r="K23" s="177"/>
      <c r="L23" s="177"/>
      <c r="M23" s="177"/>
      <c r="N23" s="177"/>
      <c r="O23" s="177"/>
      <c r="P23" s="177"/>
      <c r="Q23" s="177"/>
    </row>
    <row r="24" spans="1:17" x14ac:dyDescent="0.25">
      <c r="A24" s="168">
        <v>9</v>
      </c>
      <c r="B24" s="168">
        <v>2</v>
      </c>
      <c r="C24" s="177"/>
      <c r="D24" s="178">
        <v>3.09</v>
      </c>
      <c r="E24" s="172">
        <f>Summary!E22</f>
        <v>0</v>
      </c>
      <c r="G24" s="180" t="str">
        <f>Summary!G22</f>
        <v>Medium</v>
      </c>
      <c r="H24" s="181">
        <f>Summary!F22</f>
        <v>0</v>
      </c>
      <c r="I24" s="182">
        <f>GlobalSettings!$C$14</f>
        <v>45930</v>
      </c>
      <c r="J24" s="182">
        <f t="shared" si="0"/>
        <v>46110</v>
      </c>
      <c r="K24" s="177"/>
      <c r="L24" s="177"/>
      <c r="M24" s="177"/>
      <c r="N24" s="177"/>
      <c r="O24" s="177"/>
      <c r="P24" s="177"/>
      <c r="Q24" s="177"/>
    </row>
    <row r="25" spans="1:17" x14ac:dyDescent="0.25">
      <c r="A25" s="168">
        <v>9</v>
      </c>
      <c r="B25" s="168">
        <v>2</v>
      </c>
      <c r="C25" s="177"/>
      <c r="D25" s="178">
        <v>3.1</v>
      </c>
      <c r="E25" s="172">
        <f>Summary!E23</f>
        <v>0</v>
      </c>
      <c r="G25" s="180" t="str">
        <f>Summary!G23</f>
        <v>High</v>
      </c>
      <c r="H25" s="181">
        <f>Summary!F23</f>
        <v>0</v>
      </c>
      <c r="I25" s="182">
        <f>GlobalSettings!$C$14</f>
        <v>45930</v>
      </c>
      <c r="J25" s="182">
        <f t="shared" si="0"/>
        <v>46020</v>
      </c>
      <c r="K25" s="177"/>
      <c r="L25" s="177"/>
      <c r="M25" s="177"/>
      <c r="N25" s="177"/>
      <c r="O25" s="177"/>
      <c r="P25" s="177"/>
      <c r="Q25" s="177"/>
    </row>
    <row r="26" spans="1:17" x14ac:dyDescent="0.25">
      <c r="A26" s="168">
        <v>9</v>
      </c>
      <c r="B26" s="168">
        <v>2</v>
      </c>
      <c r="C26" s="177"/>
      <c r="D26" s="178">
        <v>3.11</v>
      </c>
      <c r="E26" s="172">
        <f>Summary!E24</f>
        <v>0</v>
      </c>
      <c r="G26" s="180" t="str">
        <f>Summary!G24</f>
        <v>High</v>
      </c>
      <c r="H26" s="181">
        <f>Summary!F24</f>
        <v>0</v>
      </c>
      <c r="I26" s="182">
        <f>GlobalSettings!$C$14</f>
        <v>45930</v>
      </c>
      <c r="J26" s="182">
        <f t="shared" si="0"/>
        <v>46020</v>
      </c>
      <c r="K26" s="177"/>
      <c r="L26" s="177"/>
      <c r="M26" s="177"/>
      <c r="N26" s="177"/>
      <c r="O26" s="177"/>
      <c r="P26" s="177"/>
      <c r="Q26" s="177"/>
    </row>
    <row r="27" spans="1:17" x14ac:dyDescent="0.25">
      <c r="A27" s="168">
        <v>9</v>
      </c>
      <c r="B27" s="168">
        <v>2</v>
      </c>
      <c r="C27" s="177"/>
      <c r="D27" s="178">
        <v>3.12</v>
      </c>
      <c r="E27" s="172">
        <f>Summary!E25</f>
        <v>0</v>
      </c>
      <c r="G27" s="180" t="str">
        <f>Summary!G25</f>
        <v>High</v>
      </c>
      <c r="H27" s="181">
        <f>Summary!F25</f>
        <v>0</v>
      </c>
      <c r="I27" s="182">
        <f>GlobalSettings!$C$14</f>
        <v>45930</v>
      </c>
      <c r="J27" s="182">
        <f t="shared" si="0"/>
        <v>46020</v>
      </c>
      <c r="K27" s="177"/>
      <c r="L27" s="177"/>
      <c r="M27" s="177"/>
      <c r="N27" s="177"/>
      <c r="O27" s="177"/>
      <c r="P27" s="177"/>
      <c r="Q27" s="177"/>
    </row>
    <row r="28" spans="1:17" x14ac:dyDescent="0.25">
      <c r="A28" s="168">
        <v>9</v>
      </c>
      <c r="B28" s="168">
        <v>3</v>
      </c>
      <c r="C28" s="177"/>
      <c r="D28" s="178">
        <v>3.13</v>
      </c>
      <c r="E28" s="172">
        <f>Summary!E26</f>
        <v>0</v>
      </c>
      <c r="G28" s="180" t="str">
        <f>Summary!G26</f>
        <v>Medium</v>
      </c>
      <c r="H28" s="181">
        <f>Summary!F26</f>
        <v>0</v>
      </c>
      <c r="I28" s="182">
        <f>GlobalSettings!$C$14</f>
        <v>45930</v>
      </c>
      <c r="J28" s="182">
        <f t="shared" si="0"/>
        <v>46110</v>
      </c>
      <c r="K28" s="177"/>
      <c r="L28" s="177"/>
      <c r="M28" s="177"/>
      <c r="N28" s="177"/>
      <c r="O28" s="177"/>
      <c r="P28" s="177"/>
      <c r="Q28" s="177"/>
    </row>
    <row r="29" spans="1:17" x14ac:dyDescent="0.25">
      <c r="A29" s="168">
        <v>9</v>
      </c>
      <c r="B29" s="168">
        <v>3</v>
      </c>
      <c r="C29" s="177"/>
      <c r="D29" s="178">
        <v>3.14</v>
      </c>
      <c r="E29" s="172">
        <f>Summary!E27</f>
        <v>0</v>
      </c>
      <c r="G29" s="180" t="str">
        <f>Summary!G27</f>
        <v>Medium</v>
      </c>
      <c r="H29" s="181">
        <f>Summary!F27</f>
        <v>0</v>
      </c>
      <c r="I29" s="182">
        <f>GlobalSettings!$C$14</f>
        <v>45930</v>
      </c>
      <c r="J29" s="182">
        <f t="shared" si="0"/>
        <v>46110</v>
      </c>
      <c r="K29" s="177"/>
      <c r="L29" s="177"/>
      <c r="M29" s="177"/>
      <c r="N29" s="177"/>
      <c r="O29" s="177"/>
      <c r="P29" s="177"/>
      <c r="Q29" s="177"/>
    </row>
    <row r="30" spans="1:17" x14ac:dyDescent="0.25">
      <c r="A30" s="168">
        <v>0</v>
      </c>
      <c r="B30" s="168">
        <v>1</v>
      </c>
      <c r="C30" s="177"/>
      <c r="D30" s="178">
        <v>4.01</v>
      </c>
      <c r="E30" s="172">
        <f>Summary!E28</f>
        <v>0</v>
      </c>
      <c r="G30" s="180" t="str">
        <f>Summary!G28</f>
        <v>Critical</v>
      </c>
      <c r="H30" s="181">
        <f>Summary!F28</f>
        <v>0</v>
      </c>
      <c r="I30" s="182">
        <f>GlobalSettings!$C$14</f>
        <v>45930</v>
      </c>
      <c r="J30" s="182">
        <f t="shared" si="0"/>
        <v>45960</v>
      </c>
      <c r="K30" s="177"/>
      <c r="L30" s="177"/>
      <c r="M30" s="177"/>
      <c r="N30" s="177"/>
      <c r="O30" s="177"/>
      <c r="P30" s="177"/>
      <c r="Q30" s="177"/>
    </row>
    <row r="31" spans="1:17" x14ac:dyDescent="0.25">
      <c r="A31" s="168">
        <v>9</v>
      </c>
      <c r="B31" s="168">
        <v>1</v>
      </c>
      <c r="C31" s="177"/>
      <c r="D31" s="178">
        <v>4.0199999999999996</v>
      </c>
      <c r="E31" s="172">
        <f>Summary!E29</f>
        <v>0</v>
      </c>
      <c r="G31" s="180" t="str">
        <f>Summary!G29</f>
        <v>High</v>
      </c>
      <c r="H31" s="181">
        <f>Summary!F29</f>
        <v>0</v>
      </c>
      <c r="I31" s="182">
        <f>GlobalSettings!$C$14</f>
        <v>45930</v>
      </c>
      <c r="J31" s="182">
        <f t="shared" si="0"/>
        <v>46020</v>
      </c>
      <c r="K31" s="177"/>
      <c r="L31" s="177"/>
      <c r="M31" s="177"/>
      <c r="N31" s="177"/>
      <c r="O31" s="177"/>
      <c r="P31" s="177"/>
      <c r="Q31" s="177"/>
    </row>
    <row r="32" spans="1:17" x14ac:dyDescent="0.25">
      <c r="A32" s="168">
        <v>0</v>
      </c>
      <c r="B32" s="168">
        <v>1</v>
      </c>
      <c r="C32" s="177"/>
      <c r="D32" s="178">
        <v>4.03</v>
      </c>
      <c r="E32" s="172">
        <f>Summary!E30</f>
        <v>0</v>
      </c>
      <c r="G32" s="180" t="str">
        <f>Summary!G30</f>
        <v>Medium</v>
      </c>
      <c r="H32" s="181">
        <f>Summary!F30</f>
        <v>0</v>
      </c>
      <c r="I32" s="182">
        <f>GlobalSettings!$C$14</f>
        <v>45930</v>
      </c>
      <c r="J32" s="182">
        <f t="shared" si="0"/>
        <v>46110</v>
      </c>
      <c r="K32" s="177"/>
      <c r="L32" s="177"/>
      <c r="M32" s="177"/>
      <c r="N32" s="177"/>
      <c r="O32" s="177"/>
      <c r="P32" s="177"/>
      <c r="Q32" s="177"/>
    </row>
    <row r="33" spans="1:17" x14ac:dyDescent="0.25">
      <c r="A33" s="168">
        <v>0</v>
      </c>
      <c r="B33" s="168">
        <v>1</v>
      </c>
      <c r="C33" s="177"/>
      <c r="D33" s="178">
        <v>4.04</v>
      </c>
      <c r="E33" s="172">
        <f>Summary!E31</f>
        <v>0</v>
      </c>
      <c r="G33" s="180" t="str">
        <f>Summary!G31</f>
        <v>High</v>
      </c>
      <c r="H33" s="181">
        <f>Summary!F31</f>
        <v>0</v>
      </c>
      <c r="I33" s="182">
        <f>GlobalSettings!$C$14</f>
        <v>45930</v>
      </c>
      <c r="J33" s="182">
        <f t="shared" si="0"/>
        <v>46020</v>
      </c>
      <c r="K33" s="177"/>
      <c r="L33" s="177"/>
      <c r="M33" s="177"/>
      <c r="N33" s="177"/>
      <c r="O33" s="177"/>
      <c r="P33" s="177"/>
      <c r="Q33" s="177"/>
    </row>
    <row r="34" spans="1:17" x14ac:dyDescent="0.25">
      <c r="A34" s="168">
        <v>0</v>
      </c>
      <c r="B34" s="168">
        <v>1</v>
      </c>
      <c r="C34" s="177"/>
      <c r="D34" s="178">
        <v>4.05</v>
      </c>
      <c r="E34" s="172">
        <f>Summary!E32</f>
        <v>0</v>
      </c>
      <c r="G34" s="180" t="str">
        <f>Summary!G32</f>
        <v>Medium</v>
      </c>
      <c r="H34" s="181">
        <f>Summary!F32</f>
        <v>0</v>
      </c>
      <c r="I34" s="182">
        <f>GlobalSettings!$C$14</f>
        <v>45930</v>
      </c>
      <c r="J34" s="182">
        <f t="shared" si="0"/>
        <v>46110</v>
      </c>
      <c r="K34" s="177"/>
      <c r="L34" s="177"/>
      <c r="M34" s="177"/>
      <c r="N34" s="177"/>
      <c r="O34" s="177"/>
      <c r="P34" s="177"/>
      <c r="Q34" s="177"/>
    </row>
    <row r="35" spans="1:17" x14ac:dyDescent="0.25">
      <c r="A35" s="168">
        <v>9</v>
      </c>
      <c r="B35" s="168">
        <v>1</v>
      </c>
      <c r="C35" s="177"/>
      <c r="D35" s="178">
        <v>4.0599999999999996</v>
      </c>
      <c r="E35" s="172">
        <f>Summary!E33</f>
        <v>0</v>
      </c>
      <c r="G35" s="180" t="str">
        <f>Summary!G33</f>
        <v>Medium</v>
      </c>
      <c r="H35" s="181">
        <f>Summary!F33</f>
        <v>0</v>
      </c>
      <c r="I35" s="182">
        <f>GlobalSettings!$C$14</f>
        <v>45930</v>
      </c>
      <c r="J35" s="182">
        <f t="shared" si="0"/>
        <v>46110</v>
      </c>
      <c r="K35" s="177"/>
      <c r="L35" s="177"/>
      <c r="M35" s="177"/>
      <c r="N35" s="177"/>
      <c r="O35" s="177"/>
      <c r="P35" s="177"/>
      <c r="Q35" s="177"/>
    </row>
    <row r="36" spans="1:17" x14ac:dyDescent="0.25">
      <c r="A36" s="168">
        <v>0</v>
      </c>
      <c r="B36" s="168">
        <v>1</v>
      </c>
      <c r="C36" s="177"/>
      <c r="D36" s="178">
        <v>4.07</v>
      </c>
      <c r="E36" s="172">
        <f>Summary!E34</f>
        <v>0</v>
      </c>
      <c r="G36" s="180" t="str">
        <f>Summary!G34</f>
        <v>Critical</v>
      </c>
      <c r="H36" s="181">
        <f>Summary!F34</f>
        <v>0</v>
      </c>
      <c r="I36" s="182">
        <f>GlobalSettings!$C$14</f>
        <v>45930</v>
      </c>
      <c r="J36" s="182">
        <f t="shared" si="0"/>
        <v>45960</v>
      </c>
      <c r="K36" s="177"/>
      <c r="L36" s="177"/>
      <c r="M36" s="177"/>
      <c r="N36" s="177"/>
      <c r="O36" s="177"/>
      <c r="P36" s="177"/>
      <c r="Q36" s="177"/>
    </row>
    <row r="37" spans="1:17" x14ac:dyDescent="0.25">
      <c r="A37" s="168">
        <v>9</v>
      </c>
      <c r="B37" s="168">
        <v>2</v>
      </c>
      <c r="C37" s="177"/>
      <c r="D37" s="178">
        <v>4.08</v>
      </c>
      <c r="E37" s="172">
        <f>Summary!E35</f>
        <v>0</v>
      </c>
      <c r="G37" s="180" t="str">
        <f>Summary!G35</f>
        <v>Critical</v>
      </c>
      <c r="H37" s="181">
        <f>Summary!F35</f>
        <v>0</v>
      </c>
      <c r="I37" s="182">
        <f>GlobalSettings!$C$14</f>
        <v>45930</v>
      </c>
      <c r="J37" s="182">
        <f t="shared" si="0"/>
        <v>45960</v>
      </c>
      <c r="K37" s="177"/>
      <c r="L37" s="177"/>
      <c r="M37" s="177"/>
      <c r="N37" s="177"/>
      <c r="O37" s="177"/>
      <c r="P37" s="177"/>
      <c r="Q37" s="177"/>
    </row>
    <row r="38" spans="1:17" x14ac:dyDescent="0.25">
      <c r="A38" s="168">
        <v>9</v>
      </c>
      <c r="B38" s="168">
        <v>2</v>
      </c>
      <c r="C38" s="177"/>
      <c r="D38" s="178">
        <v>4.09</v>
      </c>
      <c r="E38" s="172">
        <f>Summary!E36</f>
        <v>0</v>
      </c>
      <c r="G38" s="180" t="str">
        <f>Summary!G36</f>
        <v>Medium</v>
      </c>
      <c r="H38" s="181">
        <f>Summary!F36</f>
        <v>0</v>
      </c>
      <c r="I38" s="182">
        <f>GlobalSettings!$C$14</f>
        <v>45930</v>
      </c>
      <c r="J38" s="182">
        <f t="shared" si="0"/>
        <v>46110</v>
      </c>
      <c r="K38" s="177"/>
      <c r="L38" s="177"/>
      <c r="M38" s="177"/>
      <c r="N38" s="177"/>
      <c r="O38" s="177"/>
      <c r="P38" s="177"/>
      <c r="Q38" s="177"/>
    </row>
    <row r="39" spans="1:17" x14ac:dyDescent="0.25">
      <c r="A39" s="168">
        <v>9</v>
      </c>
      <c r="B39" s="168">
        <v>2</v>
      </c>
      <c r="C39" s="177"/>
      <c r="D39" s="178">
        <v>4.0999999999999996</v>
      </c>
      <c r="E39" s="172">
        <f>Summary!E37</f>
        <v>0</v>
      </c>
      <c r="G39" s="180" t="str">
        <f>Summary!G37</f>
        <v>High</v>
      </c>
      <c r="H39" s="181">
        <f>Summary!F37</f>
        <v>0</v>
      </c>
      <c r="I39" s="182">
        <f>GlobalSettings!$C$14</f>
        <v>45930</v>
      </c>
      <c r="J39" s="182">
        <f t="shared" si="0"/>
        <v>46020</v>
      </c>
      <c r="K39" s="177"/>
      <c r="L39" s="177"/>
      <c r="M39" s="177"/>
      <c r="N39" s="177"/>
      <c r="O39" s="177"/>
      <c r="P39" s="177"/>
      <c r="Q39" s="177"/>
    </row>
    <row r="40" spans="1:17" x14ac:dyDescent="0.25">
      <c r="A40" s="168">
        <v>9</v>
      </c>
      <c r="B40" s="168">
        <v>2</v>
      </c>
      <c r="C40" s="177"/>
      <c r="D40" s="178">
        <v>4.1100000000000003</v>
      </c>
      <c r="E40" s="172">
        <f>Summary!E38</f>
        <v>0</v>
      </c>
      <c r="G40" s="180" t="str">
        <f>Summary!G38</f>
        <v>Medium</v>
      </c>
      <c r="H40" s="181">
        <f>Summary!F38</f>
        <v>0</v>
      </c>
      <c r="I40" s="182">
        <f>GlobalSettings!$C$14</f>
        <v>45930</v>
      </c>
      <c r="J40" s="182">
        <f t="shared" si="0"/>
        <v>46110</v>
      </c>
      <c r="K40" s="177"/>
      <c r="L40" s="177"/>
      <c r="M40" s="177"/>
      <c r="N40" s="177"/>
      <c r="O40" s="177"/>
      <c r="P40" s="177"/>
      <c r="Q40" s="177"/>
    </row>
    <row r="41" spans="1:17" x14ac:dyDescent="0.25">
      <c r="A41" s="168">
        <v>9</v>
      </c>
      <c r="B41" s="168">
        <v>3</v>
      </c>
      <c r="C41" s="177"/>
      <c r="D41" s="178">
        <v>4.12</v>
      </c>
      <c r="E41" s="172">
        <f>Summary!E39</f>
        <v>0</v>
      </c>
      <c r="G41" s="180" t="str">
        <f>Summary!G39</f>
        <v>Medium</v>
      </c>
      <c r="H41" s="181">
        <f>Summary!F39</f>
        <v>0</v>
      </c>
      <c r="I41" s="182">
        <f>GlobalSettings!$C$14</f>
        <v>45930</v>
      </c>
      <c r="J41" s="182">
        <f t="shared" si="0"/>
        <v>46110</v>
      </c>
      <c r="K41" s="177"/>
      <c r="L41" s="177"/>
      <c r="M41" s="177"/>
      <c r="N41" s="177"/>
      <c r="O41" s="177"/>
      <c r="P41" s="177"/>
      <c r="Q41" s="177"/>
    </row>
    <row r="42" spans="1:17" x14ac:dyDescent="0.25">
      <c r="A42" s="168">
        <v>0</v>
      </c>
      <c r="B42" s="168">
        <v>1</v>
      </c>
      <c r="C42" s="177"/>
      <c r="D42" s="178">
        <v>5.01</v>
      </c>
      <c r="E42" s="172">
        <f>Summary!E40</f>
        <v>0</v>
      </c>
      <c r="G42" s="180" t="str">
        <f>Summary!G40</f>
        <v>High</v>
      </c>
      <c r="H42" s="181">
        <f>Summary!F40</f>
        <v>0</v>
      </c>
      <c r="I42" s="182">
        <f>GlobalSettings!$C$14</f>
        <v>45930</v>
      </c>
      <c r="J42" s="182">
        <f t="shared" si="0"/>
        <v>46020</v>
      </c>
      <c r="K42" s="177"/>
      <c r="L42" s="177"/>
      <c r="M42" s="177"/>
      <c r="N42" s="177"/>
      <c r="O42" s="177"/>
      <c r="P42" s="177"/>
      <c r="Q42" s="177"/>
    </row>
    <row r="43" spans="1:17" x14ac:dyDescent="0.25">
      <c r="A43" s="168">
        <v>0</v>
      </c>
      <c r="B43" s="168">
        <v>1</v>
      </c>
      <c r="C43" s="177"/>
      <c r="D43" s="178">
        <v>5.0199999999999996</v>
      </c>
      <c r="E43" s="172">
        <f>Summary!E41</f>
        <v>0</v>
      </c>
      <c r="G43" s="180" t="str">
        <f>Summary!G41</f>
        <v>High</v>
      </c>
      <c r="H43" s="181">
        <f>Summary!F41</f>
        <v>0</v>
      </c>
      <c r="I43" s="182">
        <f>GlobalSettings!$C$14</f>
        <v>45930</v>
      </c>
      <c r="J43" s="182">
        <f t="shared" si="0"/>
        <v>46020</v>
      </c>
      <c r="K43" s="177"/>
      <c r="L43" s="177"/>
      <c r="M43" s="177"/>
      <c r="N43" s="177"/>
      <c r="O43" s="177"/>
      <c r="P43" s="177"/>
      <c r="Q43" s="177"/>
    </row>
    <row r="44" spans="1:17" x14ac:dyDescent="0.25">
      <c r="A44" s="168">
        <v>0</v>
      </c>
      <c r="B44" s="168">
        <v>1</v>
      </c>
      <c r="C44" s="177"/>
      <c r="D44" s="178">
        <v>5.03</v>
      </c>
      <c r="E44" s="172">
        <f>Summary!E42</f>
        <v>0</v>
      </c>
      <c r="G44" s="180" t="str">
        <f>Summary!G42</f>
        <v>Critical</v>
      </c>
      <c r="H44" s="181">
        <f>Summary!F42</f>
        <v>0</v>
      </c>
      <c r="I44" s="182">
        <f>GlobalSettings!$C$14</f>
        <v>45930</v>
      </c>
      <c r="J44" s="182">
        <f t="shared" si="0"/>
        <v>45960</v>
      </c>
      <c r="K44" s="177"/>
      <c r="L44" s="177"/>
      <c r="M44" s="177"/>
      <c r="N44" s="177"/>
      <c r="O44" s="177"/>
      <c r="P44" s="177"/>
      <c r="Q44" s="177"/>
    </row>
    <row r="45" spans="1:17" x14ac:dyDescent="0.25">
      <c r="A45" s="168">
        <v>0</v>
      </c>
      <c r="B45" s="168">
        <v>1</v>
      </c>
      <c r="C45" s="177"/>
      <c r="D45" s="178">
        <v>5.04</v>
      </c>
      <c r="E45" s="172">
        <f>Summary!E43</f>
        <v>0</v>
      </c>
      <c r="G45" s="180" t="str">
        <f>Summary!G43</f>
        <v>Critical</v>
      </c>
      <c r="H45" s="181">
        <f>Summary!F43</f>
        <v>0</v>
      </c>
      <c r="I45" s="182">
        <f>GlobalSettings!$C$14</f>
        <v>45930</v>
      </c>
      <c r="J45" s="182">
        <f t="shared" si="0"/>
        <v>45960</v>
      </c>
      <c r="K45" s="177"/>
      <c r="L45" s="177"/>
      <c r="M45" s="177"/>
      <c r="N45" s="177"/>
      <c r="O45" s="177"/>
      <c r="P45" s="177"/>
      <c r="Q45" s="177"/>
    </row>
    <row r="46" spans="1:17" x14ac:dyDescent="0.25">
      <c r="A46" s="168">
        <v>9</v>
      </c>
      <c r="B46" s="168">
        <v>2</v>
      </c>
      <c r="C46" s="177"/>
      <c r="D46" s="178">
        <v>5.05</v>
      </c>
      <c r="E46" s="172">
        <f>Summary!E44</f>
        <v>0</v>
      </c>
      <c r="G46" s="180" t="str">
        <f>Summary!G44</f>
        <v>High</v>
      </c>
      <c r="H46" s="181">
        <f>Summary!F44</f>
        <v>0</v>
      </c>
      <c r="I46" s="182">
        <f>GlobalSettings!$C$14</f>
        <v>45930</v>
      </c>
      <c r="J46" s="182">
        <f t="shared" si="0"/>
        <v>46020</v>
      </c>
      <c r="K46" s="177"/>
      <c r="L46" s="177"/>
      <c r="M46" s="177"/>
      <c r="N46" s="177"/>
      <c r="O46" s="177"/>
      <c r="P46" s="177"/>
      <c r="Q46" s="177"/>
    </row>
    <row r="47" spans="1:17" x14ac:dyDescent="0.25">
      <c r="A47" s="168">
        <v>9</v>
      </c>
      <c r="B47" s="168">
        <v>2</v>
      </c>
      <c r="C47" s="177"/>
      <c r="D47" s="178">
        <v>5.0599999999999996</v>
      </c>
      <c r="E47" s="172">
        <f>Summary!E45</f>
        <v>0</v>
      </c>
      <c r="G47" s="180" t="str">
        <f>Summary!G45</f>
        <v>Medium</v>
      </c>
      <c r="H47" s="181">
        <f>Summary!F45</f>
        <v>0</v>
      </c>
      <c r="I47" s="182">
        <f>GlobalSettings!$C$14</f>
        <v>45930</v>
      </c>
      <c r="J47" s="182">
        <f t="shared" si="0"/>
        <v>46110</v>
      </c>
      <c r="K47" s="177"/>
      <c r="L47" s="177"/>
      <c r="M47" s="177"/>
      <c r="N47" s="177"/>
      <c r="O47" s="177"/>
      <c r="P47" s="177"/>
      <c r="Q47" s="177"/>
    </row>
    <row r="48" spans="1:17" x14ac:dyDescent="0.25">
      <c r="A48" s="168">
        <v>0</v>
      </c>
      <c r="B48" s="168">
        <v>1</v>
      </c>
      <c r="C48" s="177"/>
      <c r="D48" s="178">
        <v>6.01</v>
      </c>
      <c r="E48" s="172">
        <f>Summary!E46</f>
        <v>0</v>
      </c>
      <c r="G48" s="180" t="str">
        <f>Summary!G46</f>
        <v>Critical</v>
      </c>
      <c r="H48" s="181">
        <f>Summary!F46</f>
        <v>0</v>
      </c>
      <c r="I48" s="182">
        <f>GlobalSettings!$C$14</f>
        <v>45930</v>
      </c>
      <c r="J48" s="182">
        <f t="shared" si="0"/>
        <v>45960</v>
      </c>
      <c r="K48" s="177"/>
      <c r="L48" s="177"/>
      <c r="M48" s="177"/>
      <c r="N48" s="177"/>
      <c r="O48" s="177"/>
      <c r="P48" s="177"/>
      <c r="Q48" s="177"/>
    </row>
    <row r="49" spans="1:17" x14ac:dyDescent="0.25">
      <c r="A49" s="168">
        <v>0</v>
      </c>
      <c r="B49" s="168">
        <v>1</v>
      </c>
      <c r="C49" s="177"/>
      <c r="D49" s="178">
        <v>6.02</v>
      </c>
      <c r="E49" s="172">
        <f>Summary!E47</f>
        <v>0</v>
      </c>
      <c r="G49" s="180" t="str">
        <f>Summary!G47</f>
        <v>Critical</v>
      </c>
      <c r="H49" s="181">
        <f>Summary!F47</f>
        <v>0</v>
      </c>
      <c r="I49" s="182">
        <f>GlobalSettings!$C$14</f>
        <v>45930</v>
      </c>
      <c r="J49" s="182">
        <f t="shared" si="0"/>
        <v>45960</v>
      </c>
      <c r="K49" s="177"/>
      <c r="L49" s="177"/>
      <c r="M49" s="177"/>
      <c r="N49" s="177"/>
      <c r="O49" s="177"/>
      <c r="P49" s="177"/>
      <c r="Q49" s="177"/>
    </row>
    <row r="50" spans="1:17" x14ac:dyDescent="0.25">
      <c r="A50" s="168">
        <v>9</v>
      </c>
      <c r="B50" s="168">
        <v>1</v>
      </c>
      <c r="C50" s="177"/>
      <c r="D50" s="178">
        <v>6.03</v>
      </c>
      <c r="E50" s="172">
        <f>Summary!E48</f>
        <v>0</v>
      </c>
      <c r="G50" s="180" t="str">
        <f>Summary!G48</f>
        <v>High</v>
      </c>
      <c r="H50" s="181">
        <f>Summary!F48</f>
        <v>0</v>
      </c>
      <c r="I50" s="182">
        <f>GlobalSettings!$C$14</f>
        <v>45930</v>
      </c>
      <c r="J50" s="182">
        <f t="shared" si="0"/>
        <v>46020</v>
      </c>
      <c r="K50" s="177"/>
      <c r="L50" s="177"/>
      <c r="M50" s="177"/>
      <c r="N50" s="177"/>
      <c r="O50" s="177"/>
      <c r="P50" s="177"/>
      <c r="Q50" s="177"/>
    </row>
    <row r="51" spans="1:17" x14ac:dyDescent="0.25">
      <c r="A51" s="168">
        <v>0</v>
      </c>
      <c r="B51" s="168">
        <v>1</v>
      </c>
      <c r="C51" s="177"/>
      <c r="D51" s="178">
        <v>6.04</v>
      </c>
      <c r="E51" s="172">
        <f>Summary!E49</f>
        <v>0</v>
      </c>
      <c r="G51" s="180" t="str">
        <f>Summary!G49</f>
        <v>High</v>
      </c>
      <c r="H51" s="181">
        <f>Summary!F49</f>
        <v>0</v>
      </c>
      <c r="I51" s="182">
        <f>GlobalSettings!$C$14</f>
        <v>45930</v>
      </c>
      <c r="J51" s="182">
        <f t="shared" si="0"/>
        <v>46020</v>
      </c>
      <c r="K51" s="177"/>
      <c r="L51" s="177"/>
      <c r="M51" s="177"/>
      <c r="N51" s="177"/>
      <c r="O51" s="177"/>
      <c r="P51" s="177"/>
      <c r="Q51" s="177"/>
    </row>
    <row r="52" spans="1:17" x14ac:dyDescent="0.25">
      <c r="A52" s="168">
        <v>0</v>
      </c>
      <c r="B52" s="168">
        <v>1</v>
      </c>
      <c r="C52" s="177"/>
      <c r="D52" s="178">
        <v>6.05</v>
      </c>
      <c r="E52" s="172">
        <f>Summary!E50</f>
        <v>0</v>
      </c>
      <c r="G52" s="180" t="str">
        <f>Summary!G50</f>
        <v>High</v>
      </c>
      <c r="H52" s="181">
        <f>Summary!F50</f>
        <v>0</v>
      </c>
      <c r="I52" s="182">
        <f>GlobalSettings!$C$14</f>
        <v>45930</v>
      </c>
      <c r="J52" s="182">
        <f t="shared" si="0"/>
        <v>46020</v>
      </c>
      <c r="K52" s="177"/>
      <c r="L52" s="177"/>
      <c r="M52" s="177"/>
      <c r="N52" s="177"/>
      <c r="O52" s="177"/>
      <c r="P52" s="177"/>
      <c r="Q52" s="177"/>
    </row>
    <row r="53" spans="1:17" x14ac:dyDescent="0.25">
      <c r="A53" s="168">
        <v>9</v>
      </c>
      <c r="B53" s="168">
        <v>2</v>
      </c>
      <c r="C53" s="177"/>
      <c r="D53" s="178">
        <v>6.06</v>
      </c>
      <c r="E53" s="172">
        <f>Summary!E51</f>
        <v>0</v>
      </c>
      <c r="G53" s="180" t="str">
        <f>Summary!G51</f>
        <v>High</v>
      </c>
      <c r="H53" s="181">
        <f>Summary!F51</f>
        <v>0</v>
      </c>
      <c r="I53" s="182">
        <f>GlobalSettings!$C$14</f>
        <v>45930</v>
      </c>
      <c r="J53" s="182">
        <f t="shared" si="0"/>
        <v>46020</v>
      </c>
      <c r="K53" s="177"/>
      <c r="L53" s="177"/>
      <c r="M53" s="177"/>
      <c r="N53" s="177"/>
      <c r="O53" s="177"/>
      <c r="P53" s="177"/>
      <c r="Q53" s="177"/>
    </row>
    <row r="54" spans="1:17" x14ac:dyDescent="0.25">
      <c r="A54" s="168">
        <v>9</v>
      </c>
      <c r="B54" s="168">
        <v>2</v>
      </c>
      <c r="C54" s="177"/>
      <c r="D54" s="178">
        <v>6.07</v>
      </c>
      <c r="E54" s="172">
        <f>Summary!E52</f>
        <v>0</v>
      </c>
      <c r="G54" s="180" t="str">
        <f>Summary!G52</f>
        <v>Medium</v>
      </c>
      <c r="H54" s="181">
        <f>Summary!F52</f>
        <v>0</v>
      </c>
      <c r="I54" s="182">
        <f>GlobalSettings!$C$14</f>
        <v>45930</v>
      </c>
      <c r="J54" s="182">
        <f t="shared" si="0"/>
        <v>46110</v>
      </c>
      <c r="K54" s="177"/>
      <c r="L54" s="177"/>
      <c r="M54" s="177"/>
      <c r="N54" s="177"/>
      <c r="O54" s="177"/>
      <c r="P54" s="177"/>
      <c r="Q54" s="177"/>
    </row>
    <row r="55" spans="1:17" x14ac:dyDescent="0.25">
      <c r="A55" s="168">
        <v>9</v>
      </c>
      <c r="B55" s="168">
        <v>3</v>
      </c>
      <c r="C55" s="177"/>
      <c r="D55" s="178">
        <v>6.08</v>
      </c>
      <c r="E55" s="172">
        <f>Summary!E53</f>
        <v>0</v>
      </c>
      <c r="G55" s="180" t="str">
        <f>Summary!G53</f>
        <v>Critical</v>
      </c>
      <c r="H55" s="181">
        <f>Summary!F53</f>
        <v>0</v>
      </c>
      <c r="I55" s="182">
        <f>GlobalSettings!$C$14</f>
        <v>45930</v>
      </c>
      <c r="J55" s="182">
        <f t="shared" si="0"/>
        <v>45960</v>
      </c>
      <c r="K55" s="177"/>
      <c r="L55" s="177"/>
      <c r="M55" s="177"/>
      <c r="N55" s="177"/>
      <c r="O55" s="177"/>
      <c r="P55" s="177"/>
      <c r="Q55" s="177"/>
    </row>
    <row r="56" spans="1:17" x14ac:dyDescent="0.25">
      <c r="A56" s="168">
        <v>0</v>
      </c>
      <c r="B56" s="168">
        <v>1</v>
      </c>
      <c r="C56" s="177"/>
      <c r="D56" s="178">
        <v>7.01</v>
      </c>
      <c r="E56" s="172">
        <f>Summary!E54</f>
        <v>0</v>
      </c>
      <c r="G56" s="180" t="str">
        <f>Summary!G54</f>
        <v>Medium</v>
      </c>
      <c r="H56" s="181">
        <f>Summary!F54</f>
        <v>0</v>
      </c>
      <c r="I56" s="182">
        <f>GlobalSettings!$C$14</f>
        <v>45930</v>
      </c>
      <c r="J56" s="182">
        <f t="shared" si="0"/>
        <v>46110</v>
      </c>
      <c r="K56" s="177"/>
      <c r="L56" s="177"/>
      <c r="M56" s="177"/>
      <c r="N56" s="177"/>
      <c r="O56" s="177"/>
      <c r="P56" s="177"/>
      <c r="Q56" s="177"/>
    </row>
    <row r="57" spans="1:17" x14ac:dyDescent="0.25">
      <c r="A57" s="168">
        <v>0</v>
      </c>
      <c r="B57" s="168">
        <v>1</v>
      </c>
      <c r="C57" s="177"/>
      <c r="D57" s="178">
        <v>7.02</v>
      </c>
      <c r="E57" s="172">
        <f>Summary!E55</f>
        <v>0</v>
      </c>
      <c r="G57" s="180" t="str">
        <f>Summary!G55</f>
        <v>Medium</v>
      </c>
      <c r="H57" s="181">
        <f>Summary!F55</f>
        <v>0</v>
      </c>
      <c r="I57" s="182">
        <f>GlobalSettings!$C$14</f>
        <v>45930</v>
      </c>
      <c r="J57" s="182">
        <f t="shared" si="0"/>
        <v>46110</v>
      </c>
      <c r="K57" s="177"/>
      <c r="L57" s="177"/>
      <c r="M57" s="177"/>
      <c r="N57" s="177"/>
      <c r="O57" s="177"/>
      <c r="P57" s="177"/>
      <c r="Q57" s="177"/>
    </row>
    <row r="58" spans="1:17" x14ac:dyDescent="0.25">
      <c r="A58" s="168">
        <v>0</v>
      </c>
      <c r="B58" s="168">
        <v>1</v>
      </c>
      <c r="C58" s="177"/>
      <c r="D58" s="178">
        <v>7.03</v>
      </c>
      <c r="E58" s="172">
        <f>Summary!E56</f>
        <v>0</v>
      </c>
      <c r="G58" s="180" t="str">
        <f>Summary!G56</f>
        <v>Medium</v>
      </c>
      <c r="H58" s="181">
        <f>Summary!F56</f>
        <v>0</v>
      </c>
      <c r="I58" s="182">
        <f>GlobalSettings!$C$14</f>
        <v>45930</v>
      </c>
      <c r="J58" s="182">
        <f t="shared" si="0"/>
        <v>46110</v>
      </c>
      <c r="K58" s="177"/>
      <c r="L58" s="177"/>
      <c r="M58" s="177"/>
      <c r="N58" s="177"/>
      <c r="O58" s="177"/>
      <c r="P58" s="177"/>
      <c r="Q58" s="177"/>
    </row>
    <row r="59" spans="1:17" x14ac:dyDescent="0.25">
      <c r="A59" s="168">
        <v>0</v>
      </c>
      <c r="B59" s="168">
        <v>1</v>
      </c>
      <c r="C59" s="177"/>
      <c r="D59" s="178">
        <v>7.04</v>
      </c>
      <c r="E59" s="172">
        <f>Summary!E57</f>
        <v>0</v>
      </c>
      <c r="G59" s="180" t="str">
        <f>Summary!G57</f>
        <v>Medium</v>
      </c>
      <c r="H59" s="181">
        <f>Summary!F57</f>
        <v>0</v>
      </c>
      <c r="I59" s="182">
        <f>GlobalSettings!$C$14</f>
        <v>45930</v>
      </c>
      <c r="J59" s="182">
        <f t="shared" si="0"/>
        <v>46110</v>
      </c>
      <c r="K59" s="177"/>
      <c r="L59" s="177"/>
      <c r="M59" s="177"/>
      <c r="N59" s="177"/>
      <c r="O59" s="177"/>
      <c r="P59" s="177"/>
      <c r="Q59" s="177"/>
    </row>
    <row r="60" spans="1:17" x14ac:dyDescent="0.25">
      <c r="A60" s="168">
        <v>0</v>
      </c>
      <c r="B60" s="168">
        <v>2</v>
      </c>
      <c r="C60" s="177"/>
      <c r="D60" s="178">
        <v>7.05</v>
      </c>
      <c r="E60" s="172">
        <f>Summary!E58</f>
        <v>0</v>
      </c>
      <c r="G60" s="180" t="str">
        <f>Summary!G58</f>
        <v>Medium</v>
      </c>
      <c r="H60" s="181">
        <f>Summary!F58</f>
        <v>0</v>
      </c>
      <c r="I60" s="182">
        <f>GlobalSettings!$C$14</f>
        <v>45930</v>
      </c>
      <c r="J60" s="182">
        <f t="shared" si="0"/>
        <v>46110</v>
      </c>
      <c r="K60" s="177"/>
      <c r="L60" s="177"/>
      <c r="M60" s="177"/>
      <c r="N60" s="177"/>
      <c r="O60" s="177"/>
      <c r="P60" s="177"/>
      <c r="Q60" s="177"/>
    </row>
    <row r="61" spans="1:17" x14ac:dyDescent="0.25">
      <c r="A61" s="168">
        <v>0</v>
      </c>
      <c r="B61" s="168">
        <v>2</v>
      </c>
      <c r="C61" s="177"/>
      <c r="D61" s="178">
        <v>7.06</v>
      </c>
      <c r="E61" s="172">
        <f>Summary!E59</f>
        <v>0</v>
      </c>
      <c r="G61" s="180" t="str">
        <f>Summary!G59</f>
        <v>High</v>
      </c>
      <c r="H61" s="181">
        <f>Summary!F59</f>
        <v>0</v>
      </c>
      <c r="I61" s="182">
        <f>GlobalSettings!$C$14</f>
        <v>45930</v>
      </c>
      <c r="J61" s="182">
        <f t="shared" si="0"/>
        <v>46020</v>
      </c>
      <c r="K61" s="177"/>
      <c r="L61" s="177"/>
      <c r="M61" s="177"/>
      <c r="N61" s="177"/>
      <c r="O61" s="177"/>
      <c r="P61" s="177"/>
      <c r="Q61" s="177"/>
    </row>
    <row r="62" spans="1:17" x14ac:dyDescent="0.25">
      <c r="A62" s="168">
        <v>9</v>
      </c>
      <c r="B62" s="168">
        <v>2</v>
      </c>
      <c r="C62" s="177"/>
      <c r="D62" s="178">
        <v>7.07</v>
      </c>
      <c r="E62" s="172">
        <f>Summary!E60</f>
        <v>0</v>
      </c>
      <c r="G62" s="180" t="str">
        <f>Summary!G60</f>
        <v>High</v>
      </c>
      <c r="H62" s="181">
        <f>Summary!F60</f>
        <v>0</v>
      </c>
      <c r="I62" s="182">
        <f>GlobalSettings!$C$14</f>
        <v>45930</v>
      </c>
      <c r="J62" s="182">
        <f t="shared" si="0"/>
        <v>46020</v>
      </c>
      <c r="K62" s="177"/>
      <c r="L62" s="177"/>
      <c r="M62" s="177"/>
      <c r="N62" s="177"/>
      <c r="O62" s="177"/>
      <c r="P62" s="177"/>
      <c r="Q62" s="177"/>
    </row>
    <row r="63" spans="1:17" x14ac:dyDescent="0.25">
      <c r="A63" s="168">
        <v>0</v>
      </c>
      <c r="B63" s="168">
        <v>1</v>
      </c>
      <c r="C63" s="177"/>
      <c r="D63" s="178">
        <v>8.01</v>
      </c>
      <c r="E63" s="172">
        <f>Summary!E61</f>
        <v>0</v>
      </c>
      <c r="G63" s="180" t="str">
        <f>Summary!G61</f>
        <v>High</v>
      </c>
      <c r="H63" s="181">
        <f>Summary!F61</f>
        <v>0</v>
      </c>
      <c r="I63" s="182">
        <f>GlobalSettings!$C$14</f>
        <v>45930</v>
      </c>
      <c r="J63" s="182">
        <f t="shared" si="0"/>
        <v>46020</v>
      </c>
      <c r="K63" s="177"/>
      <c r="L63" s="177"/>
      <c r="M63" s="177"/>
      <c r="N63" s="177"/>
      <c r="O63" s="177"/>
      <c r="P63" s="177"/>
      <c r="Q63" s="177"/>
    </row>
    <row r="64" spans="1:17" x14ac:dyDescent="0.25">
      <c r="A64" s="168">
        <v>0</v>
      </c>
      <c r="B64" s="168">
        <v>1</v>
      </c>
      <c r="C64" s="177"/>
      <c r="D64" s="178">
        <v>8.02</v>
      </c>
      <c r="E64" s="172">
        <f>Summary!E62</f>
        <v>0</v>
      </c>
      <c r="G64" s="180" t="str">
        <f>Summary!G62</f>
        <v>High</v>
      </c>
      <c r="H64" s="181">
        <f>Summary!F62</f>
        <v>0</v>
      </c>
      <c r="I64" s="182">
        <f>GlobalSettings!$C$14</f>
        <v>45930</v>
      </c>
      <c r="J64" s="182">
        <f t="shared" si="0"/>
        <v>46020</v>
      </c>
      <c r="K64" s="177"/>
      <c r="L64" s="177"/>
      <c r="M64" s="177"/>
      <c r="N64" s="177"/>
      <c r="O64" s="177"/>
      <c r="P64" s="177"/>
      <c r="Q64" s="177"/>
    </row>
    <row r="65" spans="1:17" x14ac:dyDescent="0.25">
      <c r="A65" s="168">
        <v>0</v>
      </c>
      <c r="B65" s="168">
        <v>1</v>
      </c>
      <c r="C65" s="177"/>
      <c r="D65" s="178">
        <v>8.0299999999999994</v>
      </c>
      <c r="E65" s="172">
        <f>Summary!E63</f>
        <v>0</v>
      </c>
      <c r="G65" s="180" t="str">
        <f>Summary!G63</f>
        <v>High</v>
      </c>
      <c r="H65" s="181">
        <f>Summary!F63</f>
        <v>0</v>
      </c>
      <c r="I65" s="182">
        <f>GlobalSettings!$C$14</f>
        <v>45930</v>
      </c>
      <c r="J65" s="182">
        <f t="shared" si="0"/>
        <v>46020</v>
      </c>
      <c r="K65" s="177"/>
      <c r="L65" s="177"/>
      <c r="M65" s="177"/>
      <c r="N65" s="177"/>
      <c r="O65" s="177"/>
      <c r="P65" s="177"/>
      <c r="Q65" s="177"/>
    </row>
    <row r="66" spans="1:17" x14ac:dyDescent="0.25">
      <c r="A66" s="168">
        <v>0</v>
      </c>
      <c r="B66" s="168">
        <v>2</v>
      </c>
      <c r="C66" s="177"/>
      <c r="D66" s="178">
        <v>8.0399999999999991</v>
      </c>
      <c r="E66" s="172">
        <f>Summary!E64</f>
        <v>0</v>
      </c>
      <c r="G66" s="180" t="str">
        <f>Summary!G64</f>
        <v>Medium</v>
      </c>
      <c r="H66" s="181">
        <f>Summary!F64</f>
        <v>0</v>
      </c>
      <c r="I66" s="182">
        <f>GlobalSettings!$C$14</f>
        <v>45930</v>
      </c>
      <c r="J66" s="182">
        <f t="shared" si="0"/>
        <v>46110</v>
      </c>
      <c r="K66" s="177"/>
      <c r="L66" s="177"/>
      <c r="M66" s="177"/>
      <c r="N66" s="177"/>
      <c r="O66" s="177"/>
      <c r="P66" s="177"/>
      <c r="Q66" s="177"/>
    </row>
    <row r="67" spans="1:17" x14ac:dyDescent="0.25">
      <c r="A67" s="168">
        <v>0</v>
      </c>
      <c r="B67" s="168">
        <v>2</v>
      </c>
      <c r="C67" s="177"/>
      <c r="D67" s="178">
        <v>8.0500000000000007</v>
      </c>
      <c r="E67" s="172">
        <f>Summary!E65</f>
        <v>0</v>
      </c>
      <c r="G67" s="180" t="str">
        <f>Summary!G65</f>
        <v>Medium</v>
      </c>
      <c r="H67" s="181">
        <f>Summary!F65</f>
        <v>0</v>
      </c>
      <c r="I67" s="182">
        <f>GlobalSettings!$C$14</f>
        <v>45930</v>
      </c>
      <c r="J67" s="182">
        <f t="shared" si="0"/>
        <v>46110</v>
      </c>
      <c r="K67" s="177"/>
      <c r="L67" s="177"/>
      <c r="M67" s="177"/>
      <c r="N67" s="177"/>
      <c r="O67" s="177"/>
      <c r="P67" s="177"/>
      <c r="Q67" s="177"/>
    </row>
    <row r="68" spans="1:17" x14ac:dyDescent="0.25">
      <c r="A68" s="168">
        <v>9</v>
      </c>
      <c r="B68" s="168">
        <v>2</v>
      </c>
      <c r="C68" s="177"/>
      <c r="D68" s="178">
        <v>8.06</v>
      </c>
      <c r="E68" s="172">
        <f>Summary!E66</f>
        <v>0</v>
      </c>
      <c r="G68" s="180" t="str">
        <f>Summary!G66</f>
        <v>Medium</v>
      </c>
      <c r="H68" s="181">
        <f>Summary!F66</f>
        <v>0</v>
      </c>
      <c r="I68" s="182">
        <f>GlobalSettings!$C$14</f>
        <v>45930</v>
      </c>
      <c r="J68" s="182">
        <f t="shared" si="0"/>
        <v>46110</v>
      </c>
      <c r="K68" s="177"/>
      <c r="L68" s="177"/>
      <c r="M68" s="177"/>
      <c r="N68" s="177"/>
      <c r="O68" s="177"/>
      <c r="P68" s="177"/>
      <c r="Q68" s="177"/>
    </row>
    <row r="69" spans="1:17" x14ac:dyDescent="0.25">
      <c r="A69" s="168">
        <v>9</v>
      </c>
      <c r="B69" s="168">
        <v>2</v>
      </c>
      <c r="C69" s="177"/>
      <c r="D69" s="178">
        <v>8.07</v>
      </c>
      <c r="E69" s="172">
        <f>Summary!E67</f>
        <v>0</v>
      </c>
      <c r="G69" s="180" t="str">
        <f>Summary!G67</f>
        <v>Medium</v>
      </c>
      <c r="H69" s="181">
        <f>Summary!F67</f>
        <v>0</v>
      </c>
      <c r="I69" s="182">
        <f>GlobalSettings!$C$14</f>
        <v>45930</v>
      </c>
      <c r="J69" s="182">
        <f t="shared" ref="J69:J132" si="1">IF(G69="Critical",I69+30,IF(G69="High",I69+90,IF(G69="Medium",I69+180,IF(G69="Low",I69+365,IF(G69="Info","Info","")))))</f>
        <v>46110</v>
      </c>
      <c r="K69" s="177"/>
      <c r="L69" s="177"/>
      <c r="M69" s="177"/>
      <c r="N69" s="177"/>
      <c r="O69" s="177"/>
      <c r="P69" s="177"/>
      <c r="Q69" s="177"/>
    </row>
    <row r="70" spans="1:17" x14ac:dyDescent="0.25">
      <c r="A70" s="168">
        <v>9</v>
      </c>
      <c r="B70" s="168">
        <v>2</v>
      </c>
      <c r="C70" s="177"/>
      <c r="D70" s="178">
        <v>8.08</v>
      </c>
      <c r="E70" s="172">
        <f>Summary!E68</f>
        <v>0</v>
      </c>
      <c r="G70" s="180" t="str">
        <f>Summary!G68</f>
        <v>Medium</v>
      </c>
      <c r="H70" s="181">
        <f>Summary!F68</f>
        <v>0</v>
      </c>
      <c r="I70" s="182">
        <f>GlobalSettings!$C$14</f>
        <v>45930</v>
      </c>
      <c r="J70" s="182">
        <f t="shared" si="1"/>
        <v>46110</v>
      </c>
      <c r="K70" s="177"/>
      <c r="L70" s="177"/>
      <c r="M70" s="177"/>
      <c r="N70" s="177"/>
      <c r="O70" s="177"/>
      <c r="P70" s="177"/>
      <c r="Q70" s="177"/>
    </row>
    <row r="71" spans="1:17" x14ac:dyDescent="0.25">
      <c r="A71" s="168">
        <v>0</v>
      </c>
      <c r="B71" s="168">
        <v>2</v>
      </c>
      <c r="C71" s="177"/>
      <c r="D71" s="178">
        <v>8.09</v>
      </c>
      <c r="E71" s="172">
        <f>Summary!E69</f>
        <v>0</v>
      </c>
      <c r="G71" s="180" t="str">
        <f>Summary!G69</f>
        <v>High</v>
      </c>
      <c r="H71" s="181">
        <f>Summary!F69</f>
        <v>0</v>
      </c>
      <c r="I71" s="182">
        <f>GlobalSettings!$C$14</f>
        <v>45930</v>
      </c>
      <c r="J71" s="182">
        <f t="shared" si="1"/>
        <v>46020</v>
      </c>
      <c r="K71" s="177"/>
      <c r="L71" s="177"/>
      <c r="M71" s="177"/>
      <c r="N71" s="177"/>
      <c r="O71" s="177"/>
      <c r="P71" s="177"/>
      <c r="Q71" s="177"/>
    </row>
    <row r="72" spans="1:17" x14ac:dyDescent="0.25">
      <c r="A72" s="168">
        <v>0</v>
      </c>
      <c r="B72" s="168">
        <v>2</v>
      </c>
      <c r="C72" s="177"/>
      <c r="D72" s="178">
        <v>8.1</v>
      </c>
      <c r="E72" s="172">
        <f>Summary!E70</f>
        <v>0</v>
      </c>
      <c r="G72" s="180" t="str">
        <f>Summary!G70</f>
        <v>High</v>
      </c>
      <c r="H72" s="181">
        <f>Summary!F70</f>
        <v>0</v>
      </c>
      <c r="I72" s="182">
        <f>GlobalSettings!$C$14</f>
        <v>45930</v>
      </c>
      <c r="J72" s="182">
        <f t="shared" si="1"/>
        <v>46020</v>
      </c>
      <c r="K72" s="177"/>
      <c r="L72" s="177"/>
      <c r="M72" s="177"/>
      <c r="N72" s="177"/>
      <c r="O72" s="177"/>
      <c r="P72" s="177"/>
      <c r="Q72" s="177"/>
    </row>
    <row r="73" spans="1:17" x14ac:dyDescent="0.25">
      <c r="A73" s="168">
        <v>0</v>
      </c>
      <c r="B73" s="168">
        <v>2</v>
      </c>
      <c r="C73" s="177"/>
      <c r="D73" s="178">
        <v>8.11</v>
      </c>
      <c r="E73" s="172">
        <f>Summary!E71</f>
        <v>0</v>
      </c>
      <c r="G73" s="180" t="str">
        <f>Summary!G71</f>
        <v>Medium</v>
      </c>
      <c r="H73" s="181">
        <f>Summary!F71</f>
        <v>0</v>
      </c>
      <c r="I73" s="182">
        <f>GlobalSettings!$C$14</f>
        <v>45930</v>
      </c>
      <c r="J73" s="182">
        <f t="shared" si="1"/>
        <v>46110</v>
      </c>
      <c r="K73" s="177"/>
      <c r="L73" s="177"/>
      <c r="M73" s="177"/>
      <c r="N73" s="177"/>
      <c r="O73" s="177"/>
      <c r="P73" s="177"/>
      <c r="Q73" s="177"/>
    </row>
    <row r="74" spans="1:17" x14ac:dyDescent="0.25">
      <c r="A74" s="168">
        <v>9</v>
      </c>
      <c r="B74" s="168">
        <v>3</v>
      </c>
      <c r="C74" s="177"/>
      <c r="D74" s="178">
        <v>8.1199999999999992</v>
      </c>
      <c r="E74" s="172">
        <f>Summary!E72</f>
        <v>0</v>
      </c>
      <c r="G74" s="180" t="str">
        <f>Summary!G72</f>
        <v>Medium</v>
      </c>
      <c r="H74" s="181">
        <f>Summary!F72</f>
        <v>0</v>
      </c>
      <c r="I74" s="182">
        <f>GlobalSettings!$C$14</f>
        <v>45930</v>
      </c>
      <c r="J74" s="182">
        <f t="shared" si="1"/>
        <v>46110</v>
      </c>
      <c r="K74" s="177"/>
      <c r="L74" s="177"/>
      <c r="M74" s="177"/>
      <c r="N74" s="177"/>
      <c r="O74" s="177"/>
      <c r="P74" s="177"/>
      <c r="Q74" s="177"/>
    </row>
    <row r="75" spans="1:17" x14ac:dyDescent="0.25">
      <c r="A75" s="168">
        <v>0</v>
      </c>
      <c r="B75" s="168">
        <v>1</v>
      </c>
      <c r="C75" s="177"/>
      <c r="D75" s="178">
        <v>9.01</v>
      </c>
      <c r="E75" s="172">
        <f>Summary!E73</f>
        <v>0</v>
      </c>
      <c r="G75" s="180" t="str">
        <f>Summary!G73</f>
        <v>Medium</v>
      </c>
      <c r="H75" s="181">
        <f>Summary!F73</f>
        <v>0</v>
      </c>
      <c r="I75" s="182">
        <f>GlobalSettings!$C$14</f>
        <v>45930</v>
      </c>
      <c r="J75" s="182">
        <f t="shared" si="1"/>
        <v>46110</v>
      </c>
      <c r="K75" s="177"/>
      <c r="L75" s="177"/>
      <c r="M75" s="177"/>
      <c r="N75" s="177"/>
      <c r="O75" s="177"/>
      <c r="P75" s="177"/>
      <c r="Q75" s="177"/>
    </row>
    <row r="76" spans="1:17" x14ac:dyDescent="0.25">
      <c r="A76" s="168">
        <v>0</v>
      </c>
      <c r="B76" s="168">
        <v>1</v>
      </c>
      <c r="C76" s="177"/>
      <c r="D76" s="178">
        <v>9.02</v>
      </c>
      <c r="E76" s="172">
        <f>Summary!E74</f>
        <v>0</v>
      </c>
      <c r="G76" s="180" t="str">
        <f>Summary!G74</f>
        <v>Medium</v>
      </c>
      <c r="H76" s="181">
        <f>Summary!F74</f>
        <v>0</v>
      </c>
      <c r="I76" s="182">
        <f>GlobalSettings!$C$14</f>
        <v>45930</v>
      </c>
      <c r="J76" s="182">
        <f t="shared" si="1"/>
        <v>46110</v>
      </c>
      <c r="K76" s="177"/>
      <c r="L76" s="177"/>
      <c r="M76" s="177"/>
      <c r="N76" s="177"/>
      <c r="O76" s="177"/>
      <c r="P76" s="177"/>
      <c r="Q76" s="177"/>
    </row>
    <row r="77" spans="1:17" x14ac:dyDescent="0.25">
      <c r="A77" s="168">
        <v>9</v>
      </c>
      <c r="B77" s="168">
        <v>2</v>
      </c>
      <c r="C77" s="177"/>
      <c r="D77" s="178">
        <v>9.0299999999999994</v>
      </c>
      <c r="E77" s="172">
        <f>Summary!E75</f>
        <v>0</v>
      </c>
      <c r="G77" s="180" t="str">
        <f>Summary!G75</f>
        <v>High</v>
      </c>
      <c r="H77" s="181">
        <f>Summary!F75</f>
        <v>0</v>
      </c>
      <c r="I77" s="182">
        <f>GlobalSettings!$C$14</f>
        <v>45930</v>
      </c>
      <c r="J77" s="182">
        <f t="shared" si="1"/>
        <v>46020</v>
      </c>
      <c r="K77" s="177"/>
      <c r="L77" s="177"/>
      <c r="M77" s="177"/>
      <c r="N77" s="177"/>
      <c r="O77" s="177"/>
      <c r="P77" s="177"/>
      <c r="Q77" s="177"/>
    </row>
    <row r="78" spans="1:17" x14ac:dyDescent="0.25">
      <c r="A78" s="168">
        <v>9</v>
      </c>
      <c r="B78" s="168">
        <v>2</v>
      </c>
      <c r="C78" s="177"/>
      <c r="D78" s="178">
        <v>9.0399999999999991</v>
      </c>
      <c r="E78" s="172">
        <f>Summary!E76</f>
        <v>0</v>
      </c>
      <c r="G78" s="180" t="str">
        <f>Summary!G76</f>
        <v>Medium</v>
      </c>
      <c r="H78" s="181">
        <f>Summary!F76</f>
        <v>0</v>
      </c>
      <c r="I78" s="182">
        <f>GlobalSettings!$C$14</f>
        <v>45930</v>
      </c>
      <c r="J78" s="182">
        <f t="shared" si="1"/>
        <v>46110</v>
      </c>
      <c r="K78" s="177"/>
      <c r="L78" s="177"/>
      <c r="M78" s="177"/>
      <c r="N78" s="177"/>
      <c r="O78" s="177"/>
      <c r="P78" s="177"/>
      <c r="Q78" s="177"/>
    </row>
    <row r="79" spans="1:17" x14ac:dyDescent="0.25">
      <c r="A79" s="168">
        <v>9</v>
      </c>
      <c r="B79" s="168">
        <v>2</v>
      </c>
      <c r="C79" s="177"/>
      <c r="D79" s="178">
        <v>9.0500000000000007</v>
      </c>
      <c r="E79" s="172">
        <f>Summary!E77</f>
        <v>0</v>
      </c>
      <c r="G79" s="180" t="str">
        <f>Summary!G77</f>
        <v>Medium</v>
      </c>
      <c r="H79" s="181">
        <f>Summary!F77</f>
        <v>0</v>
      </c>
      <c r="I79" s="182">
        <f>GlobalSettings!$C$14</f>
        <v>45930</v>
      </c>
      <c r="J79" s="182">
        <f t="shared" si="1"/>
        <v>46110</v>
      </c>
      <c r="K79" s="177"/>
      <c r="L79" s="177"/>
      <c r="M79" s="177"/>
      <c r="N79" s="177"/>
      <c r="O79" s="177"/>
      <c r="P79" s="177"/>
      <c r="Q79" s="177"/>
    </row>
    <row r="80" spans="1:17" x14ac:dyDescent="0.25">
      <c r="A80" s="168">
        <v>9</v>
      </c>
      <c r="B80" s="168">
        <v>2</v>
      </c>
      <c r="C80" s="177"/>
      <c r="D80" s="178">
        <v>9.06</v>
      </c>
      <c r="E80" s="172">
        <f>Summary!E78</f>
        <v>0</v>
      </c>
      <c r="G80" s="180" t="str">
        <f>Summary!G78</f>
        <v>High</v>
      </c>
      <c r="H80" s="181">
        <f>Summary!F78</f>
        <v>0</v>
      </c>
      <c r="I80" s="182">
        <f>GlobalSettings!$C$14</f>
        <v>45930</v>
      </c>
      <c r="J80" s="182">
        <f t="shared" si="1"/>
        <v>46020</v>
      </c>
      <c r="K80" s="177"/>
      <c r="L80" s="177"/>
      <c r="M80" s="177"/>
      <c r="N80" s="177"/>
      <c r="O80" s="177"/>
      <c r="P80" s="177"/>
      <c r="Q80" s="177"/>
    </row>
    <row r="81" spans="1:17" x14ac:dyDescent="0.25">
      <c r="A81" s="168">
        <v>9</v>
      </c>
      <c r="B81" s="168">
        <v>3</v>
      </c>
      <c r="C81" s="177"/>
      <c r="D81" s="178">
        <v>9.07</v>
      </c>
      <c r="E81" s="172">
        <f>Summary!E79</f>
        <v>0</v>
      </c>
      <c r="G81" s="180" t="str">
        <f>Summary!G79</f>
        <v>High</v>
      </c>
      <c r="H81" s="181">
        <f>Summary!F79</f>
        <v>0</v>
      </c>
      <c r="I81" s="182">
        <f>GlobalSettings!$C$14</f>
        <v>45930</v>
      </c>
      <c r="J81" s="182">
        <f t="shared" si="1"/>
        <v>46020</v>
      </c>
      <c r="K81" s="177"/>
      <c r="L81" s="177"/>
      <c r="M81" s="177"/>
      <c r="N81" s="177"/>
      <c r="O81" s="177"/>
      <c r="P81" s="177"/>
      <c r="Q81" s="177"/>
    </row>
    <row r="82" spans="1:17" x14ac:dyDescent="0.25">
      <c r="A82" s="168">
        <v>0</v>
      </c>
      <c r="B82" s="168">
        <v>1</v>
      </c>
      <c r="C82" s="177"/>
      <c r="D82" s="178">
        <v>10.01</v>
      </c>
      <c r="E82" s="172">
        <f>Summary!E80</f>
        <v>0</v>
      </c>
      <c r="G82" s="180" t="str">
        <f>Summary!G80</f>
        <v>High</v>
      </c>
      <c r="H82" s="181">
        <f>Summary!F80</f>
        <v>0</v>
      </c>
      <c r="I82" s="182">
        <f>GlobalSettings!$C$14</f>
        <v>45930</v>
      </c>
      <c r="J82" s="182">
        <f t="shared" si="1"/>
        <v>46020</v>
      </c>
      <c r="K82" s="177"/>
      <c r="L82" s="177"/>
      <c r="M82" s="177"/>
      <c r="N82" s="177"/>
      <c r="O82" s="177"/>
      <c r="P82" s="177"/>
      <c r="Q82" s="177"/>
    </row>
    <row r="83" spans="1:17" x14ac:dyDescent="0.25">
      <c r="A83" s="168">
        <v>0</v>
      </c>
      <c r="B83" s="168">
        <v>1</v>
      </c>
      <c r="C83" s="177"/>
      <c r="D83" s="178">
        <v>10.02</v>
      </c>
      <c r="E83" s="172">
        <f>Summary!E81</f>
        <v>0</v>
      </c>
      <c r="G83" s="180" t="str">
        <f>Summary!G81</f>
        <v>High</v>
      </c>
      <c r="H83" s="181">
        <f>Summary!F81</f>
        <v>0</v>
      </c>
      <c r="I83" s="182">
        <f>GlobalSettings!$C$14</f>
        <v>45930</v>
      </c>
      <c r="J83" s="182">
        <f t="shared" si="1"/>
        <v>46020</v>
      </c>
      <c r="K83" s="177"/>
      <c r="L83" s="177"/>
      <c r="M83" s="177"/>
      <c r="N83" s="177"/>
      <c r="O83" s="177"/>
      <c r="P83" s="177"/>
      <c r="Q83" s="177"/>
    </row>
    <row r="84" spans="1:17" x14ac:dyDescent="0.25">
      <c r="A84" s="168">
        <v>0</v>
      </c>
      <c r="B84" s="168">
        <v>1</v>
      </c>
      <c r="C84" s="177"/>
      <c r="D84" s="178">
        <v>10.029999999999999</v>
      </c>
      <c r="E84" s="172">
        <f>Summary!E82</f>
        <v>0</v>
      </c>
      <c r="G84" s="180" t="str">
        <f>Summary!G82</f>
        <v>Medium</v>
      </c>
      <c r="H84" s="181">
        <f>Summary!F82</f>
        <v>0</v>
      </c>
      <c r="I84" s="182">
        <f>GlobalSettings!$C$14</f>
        <v>45930</v>
      </c>
      <c r="J84" s="182">
        <f t="shared" si="1"/>
        <v>46110</v>
      </c>
      <c r="K84" s="177"/>
      <c r="L84" s="177"/>
      <c r="M84" s="177"/>
      <c r="N84" s="177"/>
      <c r="O84" s="177"/>
      <c r="P84" s="177"/>
      <c r="Q84" s="177"/>
    </row>
    <row r="85" spans="1:17" x14ac:dyDescent="0.25">
      <c r="A85" s="168">
        <v>9</v>
      </c>
      <c r="B85" s="168">
        <v>2</v>
      </c>
      <c r="C85" s="177"/>
      <c r="D85" s="178">
        <v>10.039999999999999</v>
      </c>
      <c r="E85" s="172">
        <f>Summary!E83</f>
        <v>0</v>
      </c>
      <c r="G85" s="180" t="str">
        <f>Summary!G83</f>
        <v>Medium</v>
      </c>
      <c r="H85" s="181">
        <f>Summary!F83</f>
        <v>0</v>
      </c>
      <c r="I85" s="182">
        <f>GlobalSettings!$C$14</f>
        <v>45930</v>
      </c>
      <c r="J85" s="182">
        <f t="shared" si="1"/>
        <v>46110</v>
      </c>
      <c r="K85" s="177"/>
      <c r="L85" s="177"/>
      <c r="M85" s="177"/>
      <c r="N85" s="177"/>
      <c r="O85" s="177"/>
      <c r="P85" s="177"/>
      <c r="Q85" s="177"/>
    </row>
    <row r="86" spans="1:17" x14ac:dyDescent="0.25">
      <c r="A86" s="168">
        <v>9</v>
      </c>
      <c r="B86" s="168">
        <v>2</v>
      </c>
      <c r="C86" s="177"/>
      <c r="D86" s="178">
        <v>10.050000000000001</v>
      </c>
      <c r="E86" s="172">
        <f>Summary!E84</f>
        <v>0</v>
      </c>
      <c r="G86" s="180" t="str">
        <f>Summary!G84</f>
        <v>Medium</v>
      </c>
      <c r="H86" s="181">
        <f>Summary!F84</f>
        <v>0</v>
      </c>
      <c r="I86" s="182">
        <f>GlobalSettings!$C$14</f>
        <v>45930</v>
      </c>
      <c r="J86" s="182">
        <f t="shared" si="1"/>
        <v>46110</v>
      </c>
      <c r="K86" s="177"/>
      <c r="L86" s="177"/>
      <c r="M86" s="177"/>
      <c r="N86" s="177"/>
      <c r="O86" s="177"/>
      <c r="P86" s="177"/>
      <c r="Q86" s="177"/>
    </row>
    <row r="87" spans="1:17" x14ac:dyDescent="0.25">
      <c r="A87" s="168">
        <v>9</v>
      </c>
      <c r="B87" s="168">
        <v>2</v>
      </c>
      <c r="C87" s="177"/>
      <c r="D87" s="178">
        <v>10.06</v>
      </c>
      <c r="E87" s="172">
        <f>Summary!E85</f>
        <v>0</v>
      </c>
      <c r="G87" s="180" t="str">
        <f>Summary!G85</f>
        <v>Medium</v>
      </c>
      <c r="H87" s="181">
        <f>Summary!F85</f>
        <v>0</v>
      </c>
      <c r="I87" s="182">
        <f>GlobalSettings!$C$14</f>
        <v>45930</v>
      </c>
      <c r="J87" s="182">
        <f t="shared" si="1"/>
        <v>46110</v>
      </c>
      <c r="K87" s="177"/>
      <c r="L87" s="177"/>
      <c r="M87" s="177"/>
      <c r="N87" s="177"/>
      <c r="O87" s="177"/>
      <c r="P87" s="177"/>
      <c r="Q87" s="177"/>
    </row>
    <row r="88" spans="1:17" x14ac:dyDescent="0.25">
      <c r="A88" s="168">
        <v>9</v>
      </c>
      <c r="B88" s="168">
        <v>2</v>
      </c>
      <c r="C88" s="177"/>
      <c r="D88" s="178">
        <v>10.07</v>
      </c>
      <c r="E88" s="172">
        <f>Summary!E86</f>
        <v>0</v>
      </c>
      <c r="G88" s="180" t="str">
        <f>Summary!G86</f>
        <v>High</v>
      </c>
      <c r="H88" s="181">
        <f>Summary!F86</f>
        <v>0</v>
      </c>
      <c r="I88" s="182">
        <f>GlobalSettings!$C$14</f>
        <v>45930</v>
      </c>
      <c r="J88" s="182">
        <f t="shared" si="1"/>
        <v>46020</v>
      </c>
      <c r="K88" s="177"/>
      <c r="L88" s="177"/>
      <c r="M88" s="177"/>
      <c r="N88" s="177"/>
      <c r="O88" s="177"/>
      <c r="P88" s="177"/>
      <c r="Q88" s="177"/>
    </row>
    <row r="89" spans="1:17" x14ac:dyDescent="0.25">
      <c r="A89" s="168">
        <v>0</v>
      </c>
      <c r="B89" s="168">
        <v>1</v>
      </c>
      <c r="C89" s="177"/>
      <c r="D89" s="178">
        <v>11.01</v>
      </c>
      <c r="E89" s="172">
        <f>Summary!E87</f>
        <v>0</v>
      </c>
      <c r="G89" s="180" t="str">
        <f>Summary!G87</f>
        <v>Medium</v>
      </c>
      <c r="H89" s="181">
        <f>Summary!F87</f>
        <v>0</v>
      </c>
      <c r="I89" s="182">
        <f>GlobalSettings!$C$14</f>
        <v>45930</v>
      </c>
      <c r="J89" s="182">
        <f t="shared" si="1"/>
        <v>46110</v>
      </c>
      <c r="K89" s="177"/>
      <c r="L89" s="177"/>
      <c r="M89" s="177"/>
      <c r="N89" s="177"/>
      <c r="O89" s="177"/>
      <c r="P89" s="177"/>
      <c r="Q89" s="177"/>
    </row>
    <row r="90" spans="1:17" x14ac:dyDescent="0.25">
      <c r="A90" s="168">
        <v>0</v>
      </c>
      <c r="B90" s="168">
        <v>1</v>
      </c>
      <c r="C90" s="177"/>
      <c r="D90" s="178">
        <v>11.02</v>
      </c>
      <c r="E90" s="172">
        <f>Summary!E88</f>
        <v>0</v>
      </c>
      <c r="G90" s="180" t="str">
        <f>Summary!G88</f>
        <v>Medium</v>
      </c>
      <c r="H90" s="181">
        <f>Summary!F88</f>
        <v>0</v>
      </c>
      <c r="I90" s="182">
        <f>GlobalSettings!$C$14</f>
        <v>45930</v>
      </c>
      <c r="J90" s="182">
        <f t="shared" si="1"/>
        <v>46110</v>
      </c>
      <c r="K90" s="177"/>
      <c r="L90" s="177"/>
      <c r="M90" s="177"/>
      <c r="N90" s="177"/>
      <c r="O90" s="177"/>
      <c r="P90" s="177"/>
      <c r="Q90" s="177"/>
    </row>
    <row r="91" spans="1:17" x14ac:dyDescent="0.25">
      <c r="A91" s="168">
        <v>0</v>
      </c>
      <c r="B91" s="168">
        <v>1</v>
      </c>
      <c r="C91" s="177"/>
      <c r="D91" s="178">
        <v>11.03</v>
      </c>
      <c r="E91" s="172">
        <f>Summary!E89</f>
        <v>0</v>
      </c>
      <c r="G91" s="180" t="str">
        <f>Summary!G89</f>
        <v>High</v>
      </c>
      <c r="H91" s="181">
        <f>Summary!F89</f>
        <v>0</v>
      </c>
      <c r="I91" s="182">
        <f>GlobalSettings!$C$14</f>
        <v>45930</v>
      </c>
      <c r="J91" s="182">
        <f t="shared" si="1"/>
        <v>46020</v>
      </c>
      <c r="K91" s="177"/>
      <c r="L91" s="177"/>
      <c r="M91" s="177"/>
      <c r="N91" s="177"/>
      <c r="O91" s="177"/>
      <c r="P91" s="177"/>
      <c r="Q91" s="177"/>
    </row>
    <row r="92" spans="1:17" x14ac:dyDescent="0.25">
      <c r="A92" s="168">
        <v>0</v>
      </c>
      <c r="B92" s="168">
        <v>1</v>
      </c>
      <c r="C92" s="177"/>
      <c r="D92" s="178">
        <v>11.04</v>
      </c>
      <c r="E92" s="172">
        <f>Summary!E90</f>
        <v>0</v>
      </c>
      <c r="G92" s="180" t="str">
        <f>Summary!G90</f>
        <v>High</v>
      </c>
      <c r="H92" s="181">
        <f>Summary!F90</f>
        <v>0</v>
      </c>
      <c r="I92" s="182">
        <f>GlobalSettings!$C$14</f>
        <v>45930</v>
      </c>
      <c r="J92" s="182">
        <f t="shared" si="1"/>
        <v>46020</v>
      </c>
      <c r="K92" s="177"/>
      <c r="L92" s="177"/>
      <c r="M92" s="177"/>
      <c r="N92" s="177"/>
      <c r="O92" s="177"/>
      <c r="P92" s="177"/>
      <c r="Q92" s="177"/>
    </row>
    <row r="93" spans="1:17" x14ac:dyDescent="0.25">
      <c r="A93" s="168">
        <v>9</v>
      </c>
      <c r="B93" s="168">
        <v>2</v>
      </c>
      <c r="C93" s="177"/>
      <c r="D93" s="178">
        <v>11.05</v>
      </c>
      <c r="E93" s="172">
        <f>Summary!E91</f>
        <v>0</v>
      </c>
      <c r="G93" s="180" t="str">
        <f>Summary!G91</f>
        <v>Medium</v>
      </c>
      <c r="H93" s="181">
        <f>Summary!F91</f>
        <v>0</v>
      </c>
      <c r="I93" s="182">
        <f>GlobalSettings!$C$14</f>
        <v>45930</v>
      </c>
      <c r="J93" s="182">
        <f t="shared" si="1"/>
        <v>46110</v>
      </c>
      <c r="K93" s="177"/>
      <c r="L93" s="177"/>
      <c r="M93" s="177"/>
      <c r="N93" s="177"/>
      <c r="O93" s="177"/>
      <c r="P93" s="177"/>
      <c r="Q93" s="177"/>
    </row>
    <row r="94" spans="1:17" x14ac:dyDescent="0.25">
      <c r="A94" s="168">
        <v>9</v>
      </c>
      <c r="B94" s="168">
        <v>1</v>
      </c>
      <c r="C94" s="177"/>
      <c r="D94" s="178">
        <v>12.01</v>
      </c>
      <c r="E94" s="172">
        <f>Summary!E92</f>
        <v>0</v>
      </c>
      <c r="G94" s="180" t="str">
        <f>Summary!G92</f>
        <v>Medium</v>
      </c>
      <c r="H94" s="181">
        <f>Summary!F92</f>
        <v>0</v>
      </c>
      <c r="I94" s="182">
        <f>GlobalSettings!$C$14</f>
        <v>45930</v>
      </c>
      <c r="J94" s="182">
        <f t="shared" si="1"/>
        <v>46110</v>
      </c>
      <c r="K94" s="177"/>
      <c r="L94" s="177"/>
      <c r="M94" s="177"/>
      <c r="N94" s="177"/>
      <c r="O94" s="177"/>
      <c r="P94" s="177"/>
      <c r="Q94" s="177"/>
    </row>
    <row r="95" spans="1:17" x14ac:dyDescent="0.25">
      <c r="A95" s="168">
        <v>9</v>
      </c>
      <c r="B95" s="168">
        <v>2</v>
      </c>
      <c r="C95" s="177"/>
      <c r="D95" s="178">
        <v>12.02</v>
      </c>
      <c r="E95" s="172">
        <f>Summary!E93</f>
        <v>0</v>
      </c>
      <c r="G95" s="180" t="str">
        <f>Summary!G93</f>
        <v>High</v>
      </c>
      <c r="H95" s="181">
        <f>Summary!F93</f>
        <v>0</v>
      </c>
      <c r="I95" s="182">
        <f>GlobalSettings!$C$14</f>
        <v>45930</v>
      </c>
      <c r="J95" s="182">
        <f t="shared" si="1"/>
        <v>46020</v>
      </c>
      <c r="K95" s="177"/>
      <c r="L95" s="177"/>
      <c r="M95" s="177"/>
      <c r="N95" s="177"/>
      <c r="O95" s="177"/>
      <c r="P95" s="177"/>
      <c r="Q95" s="177"/>
    </row>
    <row r="96" spans="1:17" x14ac:dyDescent="0.25">
      <c r="A96" s="168">
        <v>9</v>
      </c>
      <c r="B96" s="168">
        <v>2</v>
      </c>
      <c r="C96" s="177"/>
      <c r="D96" s="178">
        <v>12.03</v>
      </c>
      <c r="E96" s="172">
        <f>Summary!E94</f>
        <v>0</v>
      </c>
      <c r="G96" s="180" t="str">
        <f>Summary!G94</f>
        <v>Medium</v>
      </c>
      <c r="H96" s="181">
        <f>Summary!F94</f>
        <v>0</v>
      </c>
      <c r="I96" s="182">
        <f>GlobalSettings!$C$14</f>
        <v>45930</v>
      </c>
      <c r="J96" s="182">
        <f t="shared" si="1"/>
        <v>46110</v>
      </c>
      <c r="K96" s="177"/>
      <c r="L96" s="177"/>
      <c r="M96" s="177"/>
      <c r="N96" s="177"/>
      <c r="O96" s="177"/>
      <c r="P96" s="177"/>
      <c r="Q96" s="177"/>
    </row>
    <row r="97" spans="1:17" x14ac:dyDescent="0.25">
      <c r="A97" s="168">
        <v>9</v>
      </c>
      <c r="B97" s="168">
        <v>2</v>
      </c>
      <c r="C97" s="177"/>
      <c r="D97" s="178">
        <v>12.04</v>
      </c>
      <c r="E97" s="172">
        <f>Summary!E95</f>
        <v>0</v>
      </c>
      <c r="G97" s="180" t="str">
        <f>Summary!G95</f>
        <v>High</v>
      </c>
      <c r="H97" s="181">
        <f>Summary!F95</f>
        <v>0</v>
      </c>
      <c r="I97" s="182">
        <f>GlobalSettings!$C$14</f>
        <v>45930</v>
      </c>
      <c r="J97" s="182">
        <f t="shared" si="1"/>
        <v>46020</v>
      </c>
      <c r="K97" s="177"/>
      <c r="L97" s="177"/>
      <c r="M97" s="177"/>
      <c r="N97" s="177"/>
      <c r="O97" s="177"/>
      <c r="P97" s="177"/>
      <c r="Q97" s="177"/>
    </row>
    <row r="98" spans="1:17" x14ac:dyDescent="0.25">
      <c r="A98" s="168">
        <v>9</v>
      </c>
      <c r="B98" s="168">
        <v>2</v>
      </c>
      <c r="C98" s="177"/>
      <c r="D98" s="178">
        <v>12.05</v>
      </c>
      <c r="E98" s="172">
        <f>Summary!E96</f>
        <v>0</v>
      </c>
      <c r="G98" s="180" t="str">
        <f>Summary!G96</f>
        <v>High</v>
      </c>
      <c r="H98" s="181">
        <f>Summary!F96</f>
        <v>0</v>
      </c>
      <c r="I98" s="182">
        <f>GlobalSettings!$C$14</f>
        <v>45930</v>
      </c>
      <c r="J98" s="182">
        <f t="shared" si="1"/>
        <v>46020</v>
      </c>
      <c r="K98" s="177"/>
      <c r="L98" s="177"/>
      <c r="M98" s="177"/>
      <c r="N98" s="177"/>
      <c r="O98" s="177"/>
      <c r="P98" s="177"/>
      <c r="Q98" s="177"/>
    </row>
    <row r="99" spans="1:17" x14ac:dyDescent="0.25">
      <c r="A99" s="168">
        <v>9</v>
      </c>
      <c r="B99" s="168">
        <v>2</v>
      </c>
      <c r="C99" s="177"/>
      <c r="D99" s="178">
        <v>12.06</v>
      </c>
      <c r="E99" s="172">
        <f>Summary!E97</f>
        <v>0</v>
      </c>
      <c r="G99" s="180" t="str">
        <f>Summary!G97</f>
        <v>Medium</v>
      </c>
      <c r="H99" s="181">
        <f>Summary!F97</f>
        <v>0</v>
      </c>
      <c r="I99" s="182">
        <f>GlobalSettings!$C$14</f>
        <v>45930</v>
      </c>
      <c r="J99" s="182">
        <f t="shared" si="1"/>
        <v>46110</v>
      </c>
      <c r="K99" s="177"/>
      <c r="L99" s="177"/>
      <c r="M99" s="177"/>
      <c r="N99" s="177"/>
      <c r="O99" s="177"/>
      <c r="P99" s="177"/>
      <c r="Q99" s="177"/>
    </row>
    <row r="100" spans="1:17" x14ac:dyDescent="0.25">
      <c r="A100" s="168">
        <v>9</v>
      </c>
      <c r="B100" s="168">
        <v>2</v>
      </c>
      <c r="C100" s="177"/>
      <c r="D100" s="178">
        <v>12.07</v>
      </c>
      <c r="E100" s="172">
        <f>Summary!E98</f>
        <v>0</v>
      </c>
      <c r="G100" s="180" t="str">
        <f>Summary!G98</f>
        <v>High</v>
      </c>
      <c r="H100" s="181">
        <f>Summary!F98</f>
        <v>0</v>
      </c>
      <c r="I100" s="182">
        <f>GlobalSettings!$C$14</f>
        <v>45930</v>
      </c>
      <c r="J100" s="182">
        <f t="shared" si="1"/>
        <v>46020</v>
      </c>
      <c r="K100" s="177"/>
      <c r="L100" s="177"/>
      <c r="M100" s="177"/>
      <c r="N100" s="177"/>
      <c r="O100" s="177"/>
      <c r="P100" s="177"/>
      <c r="Q100" s="177"/>
    </row>
    <row r="101" spans="1:17" x14ac:dyDescent="0.25">
      <c r="A101" s="168">
        <v>9</v>
      </c>
      <c r="B101" s="168">
        <v>3</v>
      </c>
      <c r="C101" s="177"/>
      <c r="D101" s="178">
        <v>12.08</v>
      </c>
      <c r="E101" s="172">
        <f>Summary!E99</f>
        <v>0</v>
      </c>
      <c r="G101" s="180" t="str">
        <f>Summary!G99</f>
        <v>High</v>
      </c>
      <c r="H101" s="181">
        <f>Summary!F99</f>
        <v>0</v>
      </c>
      <c r="I101" s="182">
        <f>GlobalSettings!$C$14</f>
        <v>45930</v>
      </c>
      <c r="J101" s="182">
        <f t="shared" si="1"/>
        <v>46020</v>
      </c>
      <c r="K101" s="177"/>
      <c r="L101" s="177"/>
      <c r="M101" s="177"/>
      <c r="N101" s="177"/>
      <c r="O101" s="177"/>
      <c r="P101" s="177"/>
      <c r="Q101" s="177"/>
    </row>
    <row r="102" spans="1:17" x14ac:dyDescent="0.25">
      <c r="A102" s="168">
        <v>0</v>
      </c>
      <c r="B102" s="168">
        <v>2</v>
      </c>
      <c r="C102" s="177"/>
      <c r="D102" s="178">
        <v>13.01</v>
      </c>
      <c r="E102" s="172">
        <f>Summary!E100</f>
        <v>0</v>
      </c>
      <c r="G102" s="180" t="str">
        <f>Summary!G100</f>
        <v>High</v>
      </c>
      <c r="H102" s="181">
        <f>Summary!F100</f>
        <v>0</v>
      </c>
      <c r="I102" s="182">
        <f>GlobalSettings!$C$14</f>
        <v>45930</v>
      </c>
      <c r="J102" s="182">
        <f t="shared" si="1"/>
        <v>46020</v>
      </c>
      <c r="K102" s="177"/>
      <c r="L102" s="177"/>
      <c r="M102" s="177"/>
      <c r="N102" s="177"/>
      <c r="O102" s="177"/>
      <c r="P102" s="177"/>
      <c r="Q102" s="177"/>
    </row>
    <row r="103" spans="1:17" x14ac:dyDescent="0.25">
      <c r="A103" s="168">
        <v>9</v>
      </c>
      <c r="B103" s="168">
        <v>2</v>
      </c>
      <c r="C103" s="177"/>
      <c r="D103" s="178">
        <v>13.02</v>
      </c>
      <c r="E103" s="172">
        <f>Summary!E101</f>
        <v>0</v>
      </c>
      <c r="G103" s="180" t="str">
        <f>Summary!G101</f>
        <v>High</v>
      </c>
      <c r="H103" s="181">
        <f>Summary!F101</f>
        <v>0</v>
      </c>
      <c r="I103" s="182">
        <f>GlobalSettings!$C$14</f>
        <v>45930</v>
      </c>
      <c r="J103" s="182">
        <f t="shared" si="1"/>
        <v>46020</v>
      </c>
      <c r="K103" s="177"/>
      <c r="L103" s="177"/>
      <c r="M103" s="177"/>
      <c r="N103" s="177"/>
      <c r="O103" s="177"/>
      <c r="P103" s="177"/>
      <c r="Q103" s="177"/>
    </row>
    <row r="104" spans="1:17" x14ac:dyDescent="0.25">
      <c r="A104" s="168">
        <v>9</v>
      </c>
      <c r="B104" s="168">
        <v>2</v>
      </c>
      <c r="C104" s="177"/>
      <c r="D104" s="178">
        <v>13.03</v>
      </c>
      <c r="E104" s="172">
        <f>Summary!E102</f>
        <v>0</v>
      </c>
      <c r="G104" s="180" t="str">
        <f>Summary!G102</f>
        <v>Medium</v>
      </c>
      <c r="H104" s="181">
        <f>Summary!F102</f>
        <v>0</v>
      </c>
      <c r="I104" s="182">
        <f>GlobalSettings!$C$14</f>
        <v>45930</v>
      </c>
      <c r="J104" s="182">
        <f t="shared" si="1"/>
        <v>46110</v>
      </c>
      <c r="K104" s="177"/>
      <c r="L104" s="177"/>
      <c r="M104" s="177"/>
      <c r="N104" s="177"/>
      <c r="O104" s="177"/>
      <c r="P104" s="177"/>
      <c r="Q104" s="177"/>
    </row>
    <row r="105" spans="1:17" x14ac:dyDescent="0.25">
      <c r="A105" s="168">
        <v>9</v>
      </c>
      <c r="B105" s="168">
        <v>2</v>
      </c>
      <c r="C105" s="177"/>
      <c r="D105" s="178">
        <v>13.04</v>
      </c>
      <c r="E105" s="172">
        <f>Summary!E103</f>
        <v>0</v>
      </c>
      <c r="G105" s="180" t="str">
        <f>Summary!G103</f>
        <v>Medium</v>
      </c>
      <c r="H105" s="181">
        <f>Summary!F103</f>
        <v>0</v>
      </c>
      <c r="I105" s="182">
        <f>GlobalSettings!$C$14</f>
        <v>45930</v>
      </c>
      <c r="J105" s="182">
        <f t="shared" si="1"/>
        <v>46110</v>
      </c>
      <c r="K105" s="177"/>
      <c r="L105" s="177"/>
      <c r="M105" s="177"/>
      <c r="N105" s="177"/>
      <c r="O105" s="177"/>
      <c r="P105" s="177"/>
      <c r="Q105" s="177"/>
    </row>
    <row r="106" spans="1:17" x14ac:dyDescent="0.25">
      <c r="A106" s="168">
        <v>9</v>
      </c>
      <c r="B106" s="168">
        <v>2</v>
      </c>
      <c r="C106" s="177"/>
      <c r="D106" s="178">
        <v>13.05</v>
      </c>
      <c r="E106" s="172">
        <f>Summary!E104</f>
        <v>0</v>
      </c>
      <c r="G106" s="180" t="str">
        <f>Summary!G104</f>
        <v>High</v>
      </c>
      <c r="H106" s="181">
        <f>Summary!F104</f>
        <v>0</v>
      </c>
      <c r="I106" s="182">
        <f>GlobalSettings!$C$14</f>
        <v>45930</v>
      </c>
      <c r="J106" s="182">
        <f t="shared" si="1"/>
        <v>46020</v>
      </c>
      <c r="K106" s="177"/>
      <c r="L106" s="177"/>
      <c r="M106" s="177"/>
      <c r="N106" s="177"/>
      <c r="O106" s="177"/>
      <c r="P106" s="177"/>
      <c r="Q106" s="177"/>
    </row>
    <row r="107" spans="1:17" x14ac:dyDescent="0.25">
      <c r="A107" s="168">
        <v>9</v>
      </c>
      <c r="B107" s="168">
        <v>2</v>
      </c>
      <c r="C107" s="177"/>
      <c r="D107" s="178">
        <v>13.06</v>
      </c>
      <c r="E107" s="172">
        <f>Summary!E105</f>
        <v>0</v>
      </c>
      <c r="G107" s="180" t="str">
        <f>Summary!G105</f>
        <v>Medium</v>
      </c>
      <c r="H107" s="181">
        <f>Summary!F105</f>
        <v>0</v>
      </c>
      <c r="I107" s="182">
        <f>GlobalSettings!$C$14</f>
        <v>45930</v>
      </c>
      <c r="J107" s="182">
        <f t="shared" si="1"/>
        <v>46110</v>
      </c>
      <c r="K107" s="177"/>
      <c r="L107" s="177"/>
      <c r="M107" s="177"/>
      <c r="N107" s="177"/>
      <c r="O107" s="177"/>
      <c r="P107" s="177"/>
      <c r="Q107" s="177"/>
    </row>
    <row r="108" spans="1:17" x14ac:dyDescent="0.25">
      <c r="A108" s="168">
        <v>0</v>
      </c>
      <c r="B108" s="168">
        <v>3</v>
      </c>
      <c r="C108" s="177"/>
      <c r="D108" s="178">
        <v>13.07</v>
      </c>
      <c r="E108" s="172">
        <f>Summary!E106</f>
        <v>0</v>
      </c>
      <c r="G108" s="180" t="str">
        <f>Summary!G106</f>
        <v>High</v>
      </c>
      <c r="H108" s="181">
        <f>Summary!F106</f>
        <v>0</v>
      </c>
      <c r="I108" s="182">
        <f>GlobalSettings!$C$14</f>
        <v>45930</v>
      </c>
      <c r="J108" s="182">
        <f t="shared" si="1"/>
        <v>46020</v>
      </c>
      <c r="K108" s="177"/>
      <c r="L108" s="177"/>
      <c r="M108" s="177"/>
      <c r="N108" s="177"/>
      <c r="O108" s="177"/>
      <c r="P108" s="177"/>
      <c r="Q108" s="177"/>
    </row>
    <row r="109" spans="1:17" x14ac:dyDescent="0.25">
      <c r="A109" s="168">
        <v>9</v>
      </c>
      <c r="B109" s="168">
        <v>3</v>
      </c>
      <c r="C109" s="177"/>
      <c r="D109" s="178">
        <v>13.08</v>
      </c>
      <c r="E109" s="172">
        <f>Summary!E107</f>
        <v>0</v>
      </c>
      <c r="G109" s="180" t="str">
        <f>Summary!G107</f>
        <v>Medium</v>
      </c>
      <c r="H109" s="181">
        <f>Summary!F107</f>
        <v>0</v>
      </c>
      <c r="I109" s="182">
        <f>GlobalSettings!$C$14</f>
        <v>45930</v>
      </c>
      <c r="J109" s="182">
        <f t="shared" si="1"/>
        <v>46110</v>
      </c>
      <c r="K109" s="177"/>
      <c r="L109" s="177"/>
      <c r="M109" s="177"/>
      <c r="N109" s="177"/>
      <c r="O109" s="177"/>
      <c r="P109" s="177"/>
      <c r="Q109" s="177"/>
    </row>
    <row r="110" spans="1:17" x14ac:dyDescent="0.25">
      <c r="A110" s="168">
        <v>9</v>
      </c>
      <c r="B110" s="168">
        <v>3</v>
      </c>
      <c r="C110" s="177"/>
      <c r="D110" s="178">
        <v>13.09</v>
      </c>
      <c r="E110" s="172">
        <f>Summary!E108</f>
        <v>0</v>
      </c>
      <c r="G110" s="180" t="str">
        <f>Summary!G108</f>
        <v>Medium</v>
      </c>
      <c r="H110" s="181">
        <f>Summary!F108</f>
        <v>0</v>
      </c>
      <c r="I110" s="182">
        <f>GlobalSettings!$C$14</f>
        <v>45930</v>
      </c>
      <c r="J110" s="182">
        <f t="shared" si="1"/>
        <v>46110</v>
      </c>
      <c r="K110" s="177"/>
      <c r="L110" s="177"/>
      <c r="M110" s="177"/>
      <c r="N110" s="177"/>
      <c r="O110" s="177"/>
      <c r="P110" s="177"/>
      <c r="Q110" s="177"/>
    </row>
    <row r="111" spans="1:17" x14ac:dyDescent="0.25">
      <c r="A111" s="168">
        <v>9</v>
      </c>
      <c r="B111" s="168">
        <v>3</v>
      </c>
      <c r="C111" s="177"/>
      <c r="D111" s="178">
        <v>13.1</v>
      </c>
      <c r="E111" s="172">
        <f>Summary!E109</f>
        <v>0</v>
      </c>
      <c r="G111" s="180" t="str">
        <f>Summary!G109</f>
        <v>High</v>
      </c>
      <c r="H111" s="181">
        <f>Summary!F109</f>
        <v>0</v>
      </c>
      <c r="I111" s="182">
        <f>GlobalSettings!$C$14</f>
        <v>45930</v>
      </c>
      <c r="J111" s="182">
        <f t="shared" si="1"/>
        <v>46020</v>
      </c>
      <c r="K111" s="177"/>
      <c r="L111" s="177"/>
      <c r="M111" s="177"/>
      <c r="N111" s="177"/>
      <c r="O111" s="177"/>
      <c r="P111" s="177"/>
      <c r="Q111" s="177"/>
    </row>
    <row r="112" spans="1:17" x14ac:dyDescent="0.25">
      <c r="A112" s="168">
        <v>9</v>
      </c>
      <c r="B112" s="168">
        <v>3</v>
      </c>
      <c r="C112" s="177"/>
      <c r="D112" s="178">
        <v>13.11</v>
      </c>
      <c r="E112" s="172">
        <f>Summary!E110</f>
        <v>0</v>
      </c>
      <c r="G112" s="180" t="str">
        <f>Summary!G110</f>
        <v>Medium</v>
      </c>
      <c r="H112" s="181">
        <f>Summary!F110</f>
        <v>0</v>
      </c>
      <c r="I112" s="182">
        <f>GlobalSettings!$C$14</f>
        <v>45930</v>
      </c>
      <c r="J112" s="182">
        <f t="shared" si="1"/>
        <v>46110</v>
      </c>
      <c r="K112" s="177"/>
      <c r="L112" s="177"/>
      <c r="M112" s="177"/>
      <c r="N112" s="177"/>
      <c r="O112" s="177"/>
      <c r="P112" s="177"/>
      <c r="Q112" s="177"/>
    </row>
    <row r="113" spans="1:17" x14ac:dyDescent="0.25">
      <c r="A113" s="168">
        <v>0</v>
      </c>
      <c r="B113" s="168">
        <v>1</v>
      </c>
      <c r="C113" s="177"/>
      <c r="D113" s="178">
        <v>14.01</v>
      </c>
      <c r="E113" s="172">
        <f>Summary!E111</f>
        <v>0</v>
      </c>
      <c r="G113" s="180" t="str">
        <f>Summary!G111</f>
        <v>High</v>
      </c>
      <c r="H113" s="181">
        <f>Summary!F111</f>
        <v>0</v>
      </c>
      <c r="I113" s="182">
        <f>GlobalSettings!$C$14</f>
        <v>45930</v>
      </c>
      <c r="J113" s="182">
        <f t="shared" si="1"/>
        <v>46020</v>
      </c>
      <c r="K113" s="177"/>
      <c r="L113" s="177"/>
      <c r="M113" s="177"/>
      <c r="N113" s="177"/>
      <c r="O113" s="177"/>
      <c r="P113" s="177"/>
      <c r="Q113" s="177"/>
    </row>
    <row r="114" spans="1:17" x14ac:dyDescent="0.25">
      <c r="A114" s="168">
        <v>0</v>
      </c>
      <c r="B114" s="168">
        <v>1</v>
      </c>
      <c r="C114" s="177"/>
      <c r="D114" s="178">
        <v>14.02</v>
      </c>
      <c r="E114" s="172">
        <f>Summary!E112</f>
        <v>0</v>
      </c>
      <c r="G114" s="180" t="str">
        <f>Summary!G112</f>
        <v>Medium</v>
      </c>
      <c r="H114" s="181">
        <f>Summary!F112</f>
        <v>0</v>
      </c>
      <c r="I114" s="182">
        <f>GlobalSettings!$C$14</f>
        <v>45930</v>
      </c>
      <c r="J114" s="182">
        <f t="shared" si="1"/>
        <v>46110</v>
      </c>
      <c r="K114" s="177"/>
      <c r="L114" s="177"/>
      <c r="M114" s="177"/>
      <c r="N114" s="177"/>
      <c r="O114" s="177"/>
      <c r="P114" s="177"/>
      <c r="Q114" s="177"/>
    </row>
    <row r="115" spans="1:17" x14ac:dyDescent="0.25">
      <c r="A115" s="168">
        <v>0</v>
      </c>
      <c r="B115" s="168">
        <v>1</v>
      </c>
      <c r="C115" s="177"/>
      <c r="D115" s="178">
        <v>14.03</v>
      </c>
      <c r="E115" s="172">
        <f>Summary!E113</f>
        <v>0</v>
      </c>
      <c r="G115" s="180" t="str">
        <f>Summary!G113</f>
        <v>High</v>
      </c>
      <c r="H115" s="181">
        <f>Summary!F113</f>
        <v>0</v>
      </c>
      <c r="I115" s="182">
        <f>GlobalSettings!$C$14</f>
        <v>45930</v>
      </c>
      <c r="J115" s="182">
        <f t="shared" si="1"/>
        <v>46020</v>
      </c>
      <c r="K115" s="177"/>
      <c r="L115" s="177"/>
      <c r="M115" s="177"/>
      <c r="N115" s="177"/>
      <c r="O115" s="177"/>
      <c r="P115" s="177"/>
      <c r="Q115" s="177"/>
    </row>
    <row r="116" spans="1:17" x14ac:dyDescent="0.25">
      <c r="A116" s="168">
        <v>0</v>
      </c>
      <c r="B116" s="168">
        <v>1</v>
      </c>
      <c r="C116" s="177"/>
      <c r="D116" s="178">
        <v>14.04</v>
      </c>
      <c r="E116" s="172">
        <f>Summary!E114</f>
        <v>0</v>
      </c>
      <c r="G116" s="180" t="str">
        <f>Summary!G114</f>
        <v>Medium</v>
      </c>
      <c r="H116" s="181">
        <f>Summary!F114</f>
        <v>0</v>
      </c>
      <c r="I116" s="182">
        <f>GlobalSettings!$C$14</f>
        <v>45930</v>
      </c>
      <c r="J116" s="182">
        <f t="shared" si="1"/>
        <v>46110</v>
      </c>
      <c r="K116" s="177"/>
      <c r="L116" s="177"/>
      <c r="M116" s="177"/>
      <c r="N116" s="177"/>
      <c r="O116" s="177"/>
      <c r="P116" s="177"/>
      <c r="Q116" s="177"/>
    </row>
    <row r="117" spans="1:17" x14ac:dyDescent="0.25">
      <c r="A117" s="168">
        <v>0</v>
      </c>
      <c r="B117" s="168">
        <v>1</v>
      </c>
      <c r="C117" s="177"/>
      <c r="D117" s="178">
        <v>14.05</v>
      </c>
      <c r="E117" s="172">
        <f>Summary!E115</f>
        <v>0</v>
      </c>
      <c r="G117" s="180" t="str">
        <f>Summary!G115</f>
        <v>Medium</v>
      </c>
      <c r="H117" s="181">
        <f>Summary!F115</f>
        <v>0</v>
      </c>
      <c r="I117" s="182">
        <f>GlobalSettings!$C$14</f>
        <v>45930</v>
      </c>
      <c r="J117" s="182">
        <f t="shared" si="1"/>
        <v>46110</v>
      </c>
      <c r="K117" s="177"/>
      <c r="L117" s="177"/>
      <c r="M117" s="177"/>
      <c r="N117" s="177"/>
      <c r="O117" s="177"/>
      <c r="P117" s="177"/>
      <c r="Q117" s="177"/>
    </row>
    <row r="118" spans="1:17" x14ac:dyDescent="0.25">
      <c r="A118" s="168">
        <v>0</v>
      </c>
      <c r="B118" s="168">
        <v>1</v>
      </c>
      <c r="C118" s="177"/>
      <c r="D118" s="178">
        <v>14.06</v>
      </c>
      <c r="E118" s="172">
        <f>Summary!E116</f>
        <v>0</v>
      </c>
      <c r="G118" s="180" t="str">
        <f>Summary!G116</f>
        <v>Medium</v>
      </c>
      <c r="H118" s="181">
        <f>Summary!F116</f>
        <v>0</v>
      </c>
      <c r="I118" s="182">
        <f>GlobalSettings!$C$14</f>
        <v>45930</v>
      </c>
      <c r="J118" s="182">
        <f t="shared" si="1"/>
        <v>46110</v>
      </c>
      <c r="K118" s="177"/>
      <c r="L118" s="177"/>
      <c r="M118" s="177"/>
      <c r="N118" s="177"/>
      <c r="O118" s="177"/>
      <c r="P118" s="177"/>
      <c r="Q118" s="177"/>
    </row>
    <row r="119" spans="1:17" x14ac:dyDescent="0.25">
      <c r="A119" s="168">
        <v>9</v>
      </c>
      <c r="B119" s="168">
        <v>1</v>
      </c>
      <c r="C119" s="177"/>
      <c r="D119" s="178">
        <v>14.07</v>
      </c>
      <c r="E119" s="172">
        <f>Summary!E117</f>
        <v>0</v>
      </c>
      <c r="G119" s="180" t="str">
        <f>Summary!G117</f>
        <v>Medium</v>
      </c>
      <c r="H119" s="181">
        <f>Summary!F117</f>
        <v>0</v>
      </c>
      <c r="I119" s="182">
        <f>GlobalSettings!$C$14</f>
        <v>45930</v>
      </c>
      <c r="J119" s="182">
        <f t="shared" si="1"/>
        <v>46110</v>
      </c>
      <c r="K119" s="177"/>
      <c r="L119" s="177"/>
      <c r="M119" s="177"/>
      <c r="N119" s="177"/>
      <c r="O119" s="177"/>
      <c r="P119" s="177"/>
      <c r="Q119" s="177"/>
    </row>
    <row r="120" spans="1:17" x14ac:dyDescent="0.25">
      <c r="A120" s="168">
        <v>0</v>
      </c>
      <c r="B120" s="168">
        <v>1</v>
      </c>
      <c r="C120" s="177"/>
      <c r="D120" s="178">
        <v>14.08</v>
      </c>
      <c r="E120" s="172">
        <f>Summary!E118</f>
        <v>0</v>
      </c>
      <c r="G120" s="180" t="str">
        <f>Summary!G118</f>
        <v>Medium</v>
      </c>
      <c r="H120" s="181">
        <f>Summary!F118</f>
        <v>0</v>
      </c>
      <c r="I120" s="182">
        <f>GlobalSettings!$C$14</f>
        <v>45930</v>
      </c>
      <c r="J120" s="182">
        <f t="shared" si="1"/>
        <v>46110</v>
      </c>
      <c r="K120" s="177"/>
      <c r="L120" s="177"/>
      <c r="M120" s="177"/>
      <c r="N120" s="177"/>
      <c r="O120" s="177"/>
      <c r="P120" s="177"/>
      <c r="Q120" s="177"/>
    </row>
    <row r="121" spans="1:17" x14ac:dyDescent="0.25">
      <c r="A121" s="168">
        <v>9</v>
      </c>
      <c r="B121" s="168">
        <v>2</v>
      </c>
      <c r="C121" s="177"/>
      <c r="D121" s="178">
        <v>14.09</v>
      </c>
      <c r="E121" s="172">
        <f>Summary!E119</f>
        <v>0</v>
      </c>
      <c r="G121" s="180" t="str">
        <f>Summary!G119</f>
        <v>Medium</v>
      </c>
      <c r="H121" s="181">
        <f>Summary!F119</f>
        <v>0</v>
      </c>
      <c r="I121" s="182">
        <f>GlobalSettings!$C$14</f>
        <v>45930</v>
      </c>
      <c r="J121" s="182">
        <f t="shared" si="1"/>
        <v>46110</v>
      </c>
      <c r="K121" s="177"/>
      <c r="L121" s="177"/>
      <c r="M121" s="177"/>
      <c r="N121" s="177"/>
      <c r="O121" s="177"/>
      <c r="P121" s="177"/>
      <c r="Q121" s="177"/>
    </row>
    <row r="122" spans="1:17" x14ac:dyDescent="0.25">
      <c r="A122" s="168">
        <v>0</v>
      </c>
      <c r="B122" s="168">
        <v>1</v>
      </c>
      <c r="C122" s="177"/>
      <c r="D122" s="178">
        <v>15.01</v>
      </c>
      <c r="E122" s="172">
        <f>Summary!E120</f>
        <v>0</v>
      </c>
      <c r="G122" s="180" t="str">
        <f>Summary!G120</f>
        <v>High</v>
      </c>
      <c r="H122" s="181">
        <f>Summary!F120</f>
        <v>0</v>
      </c>
      <c r="I122" s="182">
        <f>GlobalSettings!$C$14</f>
        <v>45930</v>
      </c>
      <c r="J122" s="182">
        <f t="shared" si="1"/>
        <v>46020</v>
      </c>
      <c r="K122" s="177"/>
      <c r="L122" s="177"/>
      <c r="M122" s="177"/>
      <c r="N122" s="177"/>
      <c r="O122" s="177"/>
      <c r="P122" s="177"/>
      <c r="Q122" s="177"/>
    </row>
    <row r="123" spans="1:17" x14ac:dyDescent="0.25">
      <c r="A123" s="168">
        <v>9</v>
      </c>
      <c r="B123" s="168">
        <v>2</v>
      </c>
      <c r="C123" s="177"/>
      <c r="D123" s="178">
        <v>15.02</v>
      </c>
      <c r="E123" s="172">
        <f>Summary!E121</f>
        <v>0</v>
      </c>
      <c r="G123" s="180" t="str">
        <f>Summary!G121</f>
        <v>High</v>
      </c>
      <c r="H123" s="181">
        <f>Summary!F121</f>
        <v>0</v>
      </c>
      <c r="I123" s="182">
        <f>GlobalSettings!$C$14</f>
        <v>45930</v>
      </c>
      <c r="J123" s="182">
        <f t="shared" si="1"/>
        <v>46020</v>
      </c>
      <c r="K123" s="177"/>
      <c r="L123" s="177"/>
      <c r="M123" s="177"/>
      <c r="N123" s="177"/>
      <c r="O123" s="177"/>
      <c r="P123" s="177"/>
      <c r="Q123" s="177"/>
    </row>
    <row r="124" spans="1:17" x14ac:dyDescent="0.25">
      <c r="A124" s="168">
        <v>9</v>
      </c>
      <c r="B124" s="168">
        <v>2</v>
      </c>
      <c r="C124" s="177"/>
      <c r="D124" s="178">
        <v>15.03</v>
      </c>
      <c r="E124" s="172">
        <f>Summary!E122</f>
        <v>0</v>
      </c>
      <c r="G124" s="180" t="str">
        <f>Summary!G122</f>
        <v>Medium</v>
      </c>
      <c r="H124" s="181">
        <f>Summary!F122</f>
        <v>0</v>
      </c>
      <c r="I124" s="182">
        <f>GlobalSettings!$C$14</f>
        <v>45930</v>
      </c>
      <c r="J124" s="182">
        <f t="shared" si="1"/>
        <v>46110</v>
      </c>
      <c r="K124" s="177"/>
      <c r="L124" s="177"/>
      <c r="M124" s="177"/>
      <c r="N124" s="177"/>
      <c r="O124" s="177"/>
      <c r="P124" s="177"/>
      <c r="Q124" s="177"/>
    </row>
    <row r="125" spans="1:17" x14ac:dyDescent="0.25">
      <c r="A125" s="168">
        <v>9</v>
      </c>
      <c r="B125" s="168">
        <v>2</v>
      </c>
      <c r="C125" s="177"/>
      <c r="D125" s="178">
        <v>15.04</v>
      </c>
      <c r="E125" s="172">
        <f>Summary!E123</f>
        <v>0</v>
      </c>
      <c r="G125" s="180" t="str">
        <f>Summary!G123</f>
        <v>Medium</v>
      </c>
      <c r="H125" s="181">
        <f>Summary!F123</f>
        <v>0</v>
      </c>
      <c r="I125" s="182">
        <f>GlobalSettings!$C$14</f>
        <v>45930</v>
      </c>
      <c r="J125" s="182">
        <f t="shared" si="1"/>
        <v>46110</v>
      </c>
      <c r="K125" s="177"/>
      <c r="L125" s="177"/>
      <c r="M125" s="177"/>
      <c r="N125" s="177"/>
      <c r="O125" s="177"/>
      <c r="P125" s="177"/>
      <c r="Q125" s="177"/>
    </row>
    <row r="126" spans="1:17" x14ac:dyDescent="0.25">
      <c r="A126" s="168">
        <v>9</v>
      </c>
      <c r="B126" s="168">
        <v>3</v>
      </c>
      <c r="C126" s="177"/>
      <c r="D126" s="178">
        <v>15.05</v>
      </c>
      <c r="E126" s="172">
        <f>Summary!E124</f>
        <v>0</v>
      </c>
      <c r="G126" s="180" t="str">
        <f>Summary!G124</f>
        <v>Medium</v>
      </c>
      <c r="H126" s="181">
        <f>Summary!F124</f>
        <v>0</v>
      </c>
      <c r="I126" s="182">
        <f>GlobalSettings!$C$14</f>
        <v>45930</v>
      </c>
      <c r="J126" s="182">
        <f t="shared" si="1"/>
        <v>46110</v>
      </c>
      <c r="K126" s="177"/>
      <c r="L126" s="177"/>
      <c r="M126" s="177"/>
      <c r="N126" s="177"/>
      <c r="O126" s="177"/>
      <c r="P126" s="177"/>
      <c r="Q126" s="177"/>
    </row>
    <row r="127" spans="1:17" x14ac:dyDescent="0.25">
      <c r="A127" s="168">
        <v>9</v>
      </c>
      <c r="B127" s="168">
        <v>3</v>
      </c>
      <c r="C127" s="177"/>
      <c r="D127" s="178">
        <v>15.06</v>
      </c>
      <c r="E127" s="172">
        <f>Summary!E125</f>
        <v>0</v>
      </c>
      <c r="G127" s="180" t="str">
        <f>Summary!G125</f>
        <v>Medium</v>
      </c>
      <c r="H127" s="181">
        <f>Summary!F125</f>
        <v>0</v>
      </c>
      <c r="I127" s="182">
        <f>GlobalSettings!$C$14</f>
        <v>45930</v>
      </c>
      <c r="J127" s="182">
        <f t="shared" si="1"/>
        <v>46110</v>
      </c>
      <c r="K127" s="177"/>
      <c r="L127" s="177"/>
      <c r="M127" s="177"/>
      <c r="N127" s="177"/>
      <c r="O127" s="177"/>
      <c r="P127" s="177"/>
      <c r="Q127" s="177"/>
    </row>
    <row r="128" spans="1:17" x14ac:dyDescent="0.25">
      <c r="A128" s="168">
        <v>9</v>
      </c>
      <c r="B128" s="168">
        <v>3</v>
      </c>
      <c r="C128" s="177"/>
      <c r="D128" s="178">
        <v>15.07</v>
      </c>
      <c r="E128" s="172">
        <f>Summary!E126</f>
        <v>0</v>
      </c>
      <c r="G128" s="180" t="str">
        <f>Summary!G126</f>
        <v>Medium</v>
      </c>
      <c r="H128" s="181">
        <f>Summary!F126</f>
        <v>0</v>
      </c>
      <c r="I128" s="182">
        <f>GlobalSettings!$C$14</f>
        <v>45930</v>
      </c>
      <c r="J128" s="182">
        <f t="shared" si="1"/>
        <v>46110</v>
      </c>
      <c r="K128" s="177"/>
      <c r="L128" s="177"/>
      <c r="M128" s="177"/>
      <c r="N128" s="177"/>
      <c r="O128" s="177"/>
      <c r="P128" s="177"/>
      <c r="Q128" s="177"/>
    </row>
    <row r="129" spans="1:17" x14ac:dyDescent="0.25">
      <c r="A129" s="168">
        <v>9</v>
      </c>
      <c r="B129" s="168">
        <v>2</v>
      </c>
      <c r="C129" s="177"/>
      <c r="D129" s="178">
        <v>16.010000000000002</v>
      </c>
      <c r="E129" s="172">
        <f>Summary!E127</f>
        <v>0</v>
      </c>
      <c r="G129" s="180" t="str">
        <f>Summary!G127</f>
        <v>High</v>
      </c>
      <c r="H129" s="181">
        <f>Summary!F127</f>
        <v>0</v>
      </c>
      <c r="I129" s="182">
        <f>GlobalSettings!$C$14</f>
        <v>45930</v>
      </c>
      <c r="J129" s="182">
        <f t="shared" si="1"/>
        <v>46020</v>
      </c>
      <c r="K129" s="177"/>
      <c r="L129" s="177"/>
      <c r="M129" s="177"/>
      <c r="N129" s="177"/>
      <c r="O129" s="177"/>
      <c r="P129" s="177"/>
      <c r="Q129" s="177"/>
    </row>
    <row r="130" spans="1:17" x14ac:dyDescent="0.25">
      <c r="A130" s="168">
        <v>9</v>
      </c>
      <c r="B130" s="168">
        <v>2</v>
      </c>
      <c r="C130" s="177"/>
      <c r="D130" s="178">
        <v>16.02</v>
      </c>
      <c r="E130" s="172">
        <f>Summary!E128</f>
        <v>0</v>
      </c>
      <c r="G130" s="180" t="str">
        <f>Summary!G128</f>
        <v>High</v>
      </c>
      <c r="H130" s="181">
        <f>Summary!F128</f>
        <v>0</v>
      </c>
      <c r="I130" s="182">
        <f>GlobalSettings!$C$14</f>
        <v>45930</v>
      </c>
      <c r="J130" s="182">
        <f t="shared" si="1"/>
        <v>46020</v>
      </c>
      <c r="K130" s="177"/>
      <c r="L130" s="177"/>
      <c r="M130" s="177"/>
      <c r="N130" s="177"/>
      <c r="O130" s="177"/>
      <c r="P130" s="177"/>
      <c r="Q130" s="177"/>
    </row>
    <row r="131" spans="1:17" x14ac:dyDescent="0.25">
      <c r="A131" s="168">
        <v>9</v>
      </c>
      <c r="B131" s="168">
        <v>2</v>
      </c>
      <c r="C131" s="177"/>
      <c r="D131" s="178">
        <v>16.03</v>
      </c>
      <c r="E131" s="172">
        <f>Summary!E129</f>
        <v>0</v>
      </c>
      <c r="G131" s="180" t="str">
        <f>Summary!G129</f>
        <v>Medium</v>
      </c>
      <c r="H131" s="181">
        <f>Summary!F129</f>
        <v>0</v>
      </c>
      <c r="I131" s="182">
        <f>GlobalSettings!$C$14</f>
        <v>45930</v>
      </c>
      <c r="J131" s="182">
        <f t="shared" si="1"/>
        <v>46110</v>
      </c>
      <c r="K131" s="177"/>
      <c r="L131" s="177"/>
      <c r="M131" s="177"/>
      <c r="N131" s="177"/>
      <c r="O131" s="177"/>
      <c r="P131" s="177"/>
      <c r="Q131" s="177"/>
    </row>
    <row r="132" spans="1:17" x14ac:dyDescent="0.25">
      <c r="A132" s="168">
        <v>9</v>
      </c>
      <c r="B132" s="168">
        <v>2</v>
      </c>
      <c r="C132" s="177"/>
      <c r="D132" s="178">
        <v>16.04</v>
      </c>
      <c r="E132" s="172">
        <f>Summary!E130</f>
        <v>0</v>
      </c>
      <c r="G132" s="180" t="str">
        <f>Summary!G130</f>
        <v>High</v>
      </c>
      <c r="H132" s="181">
        <f>Summary!F130</f>
        <v>0</v>
      </c>
      <c r="I132" s="182">
        <f>GlobalSettings!$C$14</f>
        <v>45930</v>
      </c>
      <c r="J132" s="182">
        <f t="shared" si="1"/>
        <v>46020</v>
      </c>
      <c r="K132" s="177"/>
      <c r="L132" s="177"/>
      <c r="M132" s="177"/>
      <c r="N132" s="177"/>
      <c r="O132" s="177"/>
      <c r="P132" s="177"/>
      <c r="Q132" s="177"/>
    </row>
    <row r="133" spans="1:17" x14ac:dyDescent="0.25">
      <c r="A133" s="168">
        <v>9</v>
      </c>
      <c r="B133" s="168">
        <v>2</v>
      </c>
      <c r="C133" s="177"/>
      <c r="D133" s="178">
        <v>16.05</v>
      </c>
      <c r="E133" s="172">
        <f>Summary!E131</f>
        <v>0</v>
      </c>
      <c r="G133" s="180" t="str">
        <f>Summary!G131</f>
        <v>Medium</v>
      </c>
      <c r="H133" s="181">
        <f>Summary!F131</f>
        <v>0</v>
      </c>
      <c r="I133" s="182">
        <f>GlobalSettings!$C$14</f>
        <v>45930</v>
      </c>
      <c r="J133" s="182">
        <f t="shared" ref="J133:J156" si="2">IF(G133="Critical",I133+30,IF(G133="High",I133+90,IF(G133="Medium",I133+180,IF(G133="Low",I133+365,IF(G133="Info","Info","")))))</f>
        <v>46110</v>
      </c>
      <c r="K133" s="177"/>
      <c r="L133" s="177"/>
      <c r="M133" s="177"/>
      <c r="N133" s="177"/>
      <c r="O133" s="177"/>
      <c r="P133" s="177"/>
      <c r="Q133" s="177"/>
    </row>
    <row r="134" spans="1:17" x14ac:dyDescent="0.25">
      <c r="A134" s="168">
        <v>9</v>
      </c>
      <c r="B134" s="168">
        <v>2</v>
      </c>
      <c r="C134" s="177"/>
      <c r="D134" s="178">
        <v>16.059999999999999</v>
      </c>
      <c r="E134" s="172">
        <f>Summary!E132</f>
        <v>0</v>
      </c>
      <c r="G134" s="180" t="str">
        <f>Summary!G132</f>
        <v>Medium</v>
      </c>
      <c r="H134" s="181">
        <f>Summary!F132</f>
        <v>0</v>
      </c>
      <c r="I134" s="182">
        <f>GlobalSettings!$C$14</f>
        <v>45930</v>
      </c>
      <c r="J134" s="182">
        <f t="shared" si="2"/>
        <v>46110</v>
      </c>
      <c r="K134" s="177"/>
      <c r="L134" s="177"/>
      <c r="M134" s="177"/>
      <c r="N134" s="177"/>
      <c r="O134" s="177"/>
      <c r="P134" s="177"/>
      <c r="Q134" s="177"/>
    </row>
    <row r="135" spans="1:17" x14ac:dyDescent="0.25">
      <c r="A135" s="168">
        <v>9</v>
      </c>
      <c r="B135" s="168">
        <v>2</v>
      </c>
      <c r="C135" s="177"/>
      <c r="D135" s="178">
        <v>16.07</v>
      </c>
      <c r="E135" s="172">
        <f>Summary!E133</f>
        <v>0</v>
      </c>
      <c r="G135" s="180" t="str">
        <f>Summary!G133</f>
        <v>Medium</v>
      </c>
      <c r="H135" s="181">
        <f>Summary!F133</f>
        <v>0</v>
      </c>
      <c r="I135" s="182">
        <f>GlobalSettings!$C$14</f>
        <v>45930</v>
      </c>
      <c r="J135" s="182">
        <f t="shared" si="2"/>
        <v>46110</v>
      </c>
      <c r="K135" s="177"/>
      <c r="L135" s="177"/>
      <c r="M135" s="177"/>
      <c r="N135" s="177"/>
      <c r="O135" s="177"/>
      <c r="P135" s="177"/>
      <c r="Q135" s="177"/>
    </row>
    <row r="136" spans="1:17" x14ac:dyDescent="0.25">
      <c r="A136" s="168">
        <v>9</v>
      </c>
      <c r="B136" s="168">
        <v>2</v>
      </c>
      <c r="C136" s="177"/>
      <c r="D136" s="178">
        <v>16.079999999999998</v>
      </c>
      <c r="E136" s="172">
        <f>Summary!E134</f>
        <v>0</v>
      </c>
      <c r="G136" s="180" t="str">
        <f>Summary!G134</f>
        <v>High</v>
      </c>
      <c r="H136" s="181">
        <f>Summary!F134</f>
        <v>0</v>
      </c>
      <c r="I136" s="182">
        <f>GlobalSettings!$C$14</f>
        <v>45930</v>
      </c>
      <c r="J136" s="182">
        <f t="shared" si="2"/>
        <v>46020</v>
      </c>
      <c r="K136" s="177"/>
      <c r="L136" s="177"/>
      <c r="M136" s="177"/>
      <c r="N136" s="177"/>
      <c r="O136" s="177"/>
      <c r="P136" s="177"/>
      <c r="Q136" s="177"/>
    </row>
    <row r="137" spans="1:17" x14ac:dyDescent="0.25">
      <c r="A137" s="168">
        <v>9</v>
      </c>
      <c r="B137" s="168">
        <v>2</v>
      </c>
      <c r="C137" s="177"/>
      <c r="D137" s="178">
        <v>16.09</v>
      </c>
      <c r="E137" s="172">
        <f>Summary!E135</f>
        <v>0</v>
      </c>
      <c r="G137" s="180" t="str">
        <f>Summary!G135</f>
        <v>High</v>
      </c>
      <c r="H137" s="181">
        <f>Summary!F135</f>
        <v>0</v>
      </c>
      <c r="I137" s="182">
        <f>GlobalSettings!$C$14</f>
        <v>45930</v>
      </c>
      <c r="J137" s="182">
        <f t="shared" si="2"/>
        <v>46020</v>
      </c>
      <c r="K137" s="177"/>
      <c r="L137" s="177"/>
      <c r="M137" s="177"/>
      <c r="N137" s="177"/>
      <c r="O137" s="177"/>
      <c r="P137" s="177"/>
      <c r="Q137" s="177"/>
    </row>
    <row r="138" spans="1:17" x14ac:dyDescent="0.25">
      <c r="A138" s="168">
        <v>9</v>
      </c>
      <c r="B138" s="168">
        <v>2</v>
      </c>
      <c r="C138" s="177"/>
      <c r="D138" s="178">
        <v>16.100000000000001</v>
      </c>
      <c r="E138" s="172">
        <f>Summary!E136</f>
        <v>0</v>
      </c>
      <c r="G138" s="180" t="str">
        <f>Summary!G136</f>
        <v>High</v>
      </c>
      <c r="H138" s="181">
        <f>Summary!F136</f>
        <v>0</v>
      </c>
      <c r="I138" s="182">
        <f>GlobalSettings!$C$14</f>
        <v>45930</v>
      </c>
      <c r="J138" s="182">
        <f t="shared" si="2"/>
        <v>46020</v>
      </c>
      <c r="K138" s="177"/>
      <c r="L138" s="177"/>
      <c r="M138" s="177"/>
      <c r="N138" s="177"/>
      <c r="O138" s="177"/>
      <c r="P138" s="177"/>
      <c r="Q138" s="177"/>
    </row>
    <row r="139" spans="1:17" x14ac:dyDescent="0.25">
      <c r="A139" s="168">
        <v>9</v>
      </c>
      <c r="B139" s="168">
        <v>2</v>
      </c>
      <c r="C139" s="177"/>
      <c r="D139" s="178">
        <v>16.11</v>
      </c>
      <c r="E139" s="172">
        <f>Summary!E137</f>
        <v>0</v>
      </c>
      <c r="G139" s="180" t="str">
        <f>Summary!G137</f>
        <v>Medium</v>
      </c>
      <c r="H139" s="181">
        <f>Summary!F137</f>
        <v>0</v>
      </c>
      <c r="I139" s="182">
        <f>GlobalSettings!$C$14</f>
        <v>45930</v>
      </c>
      <c r="J139" s="182">
        <f t="shared" si="2"/>
        <v>46110</v>
      </c>
      <c r="K139" s="177"/>
      <c r="L139" s="177"/>
      <c r="M139" s="177"/>
      <c r="N139" s="177"/>
      <c r="O139" s="177"/>
      <c r="P139" s="177"/>
      <c r="Q139" s="177"/>
    </row>
    <row r="140" spans="1:17" x14ac:dyDescent="0.25">
      <c r="A140" s="168">
        <v>9</v>
      </c>
      <c r="B140" s="168">
        <v>3</v>
      </c>
      <c r="C140" s="177"/>
      <c r="D140" s="178">
        <v>16.12</v>
      </c>
      <c r="E140" s="172">
        <f>Summary!E138</f>
        <v>0</v>
      </c>
      <c r="G140" s="180" t="str">
        <f>Summary!G138</f>
        <v>Medium</v>
      </c>
      <c r="H140" s="181">
        <f>Summary!F138</f>
        <v>0</v>
      </c>
      <c r="I140" s="182">
        <f>GlobalSettings!$C$14</f>
        <v>45930</v>
      </c>
      <c r="J140" s="182">
        <f t="shared" si="2"/>
        <v>46110</v>
      </c>
      <c r="K140" s="177"/>
      <c r="L140" s="177"/>
      <c r="M140" s="177"/>
      <c r="N140" s="177"/>
      <c r="O140" s="177"/>
      <c r="P140" s="177"/>
      <c r="Q140" s="177"/>
    </row>
    <row r="141" spans="1:17" x14ac:dyDescent="0.25">
      <c r="A141" s="168">
        <v>9</v>
      </c>
      <c r="B141" s="168">
        <v>3</v>
      </c>
      <c r="C141" s="177"/>
      <c r="D141" s="178">
        <v>16.13</v>
      </c>
      <c r="E141" s="172">
        <f>Summary!E139</f>
        <v>0</v>
      </c>
      <c r="G141" s="180" t="str">
        <f>Summary!G139</f>
        <v>Medium</v>
      </c>
      <c r="H141" s="181">
        <f>Summary!F139</f>
        <v>0</v>
      </c>
      <c r="I141" s="182">
        <f>GlobalSettings!$C$14</f>
        <v>45930</v>
      </c>
      <c r="J141" s="182">
        <f t="shared" si="2"/>
        <v>46110</v>
      </c>
      <c r="K141" s="177"/>
      <c r="L141" s="177"/>
      <c r="M141" s="177"/>
      <c r="N141" s="177"/>
      <c r="O141" s="177"/>
      <c r="P141" s="177"/>
      <c r="Q141" s="177"/>
    </row>
    <row r="142" spans="1:17" x14ac:dyDescent="0.25">
      <c r="A142" s="168">
        <v>9</v>
      </c>
      <c r="B142" s="168">
        <v>3</v>
      </c>
      <c r="C142" s="177"/>
      <c r="D142" s="178">
        <v>16.14</v>
      </c>
      <c r="E142" s="172">
        <f>Summary!E140</f>
        <v>0</v>
      </c>
      <c r="G142" s="180" t="str">
        <f>Summary!G140</f>
        <v>Medium</v>
      </c>
      <c r="H142" s="181">
        <f>Summary!F140</f>
        <v>0</v>
      </c>
      <c r="I142" s="182">
        <f>GlobalSettings!$C$14</f>
        <v>45930</v>
      </c>
      <c r="J142" s="182">
        <f t="shared" si="2"/>
        <v>46110</v>
      </c>
      <c r="K142" s="177"/>
      <c r="L142" s="177"/>
      <c r="M142" s="177"/>
      <c r="N142" s="177"/>
      <c r="O142" s="177"/>
      <c r="P142" s="177"/>
      <c r="Q142" s="177"/>
    </row>
    <row r="143" spans="1:17" x14ac:dyDescent="0.25">
      <c r="A143" s="168">
        <v>0</v>
      </c>
      <c r="B143" s="168">
        <v>1</v>
      </c>
      <c r="C143" s="177"/>
      <c r="D143" s="178">
        <v>17.010000000000002</v>
      </c>
      <c r="E143" s="172">
        <f>Summary!E141</f>
        <v>0</v>
      </c>
      <c r="G143" s="180" t="str">
        <f>Summary!G141</f>
        <v>Medium</v>
      </c>
      <c r="H143" s="181">
        <f>Summary!F141</f>
        <v>0</v>
      </c>
      <c r="I143" s="182">
        <f>GlobalSettings!$C$14</f>
        <v>45930</v>
      </c>
      <c r="J143" s="182">
        <f t="shared" si="2"/>
        <v>46110</v>
      </c>
      <c r="K143" s="177"/>
      <c r="L143" s="177"/>
      <c r="M143" s="177"/>
      <c r="N143" s="177"/>
      <c r="O143" s="177"/>
      <c r="P143" s="177"/>
      <c r="Q143" s="177"/>
    </row>
    <row r="144" spans="1:17" x14ac:dyDescent="0.25">
      <c r="A144" s="168">
        <v>0</v>
      </c>
      <c r="B144" s="168">
        <v>1</v>
      </c>
      <c r="C144" s="177"/>
      <c r="D144" s="178">
        <v>17.02</v>
      </c>
      <c r="E144" s="172">
        <f>Summary!E142</f>
        <v>0</v>
      </c>
      <c r="G144" s="180" t="str">
        <f>Summary!G142</f>
        <v>Medium</v>
      </c>
      <c r="H144" s="181">
        <f>Summary!F142</f>
        <v>0</v>
      </c>
      <c r="I144" s="182">
        <f>GlobalSettings!$C$14</f>
        <v>45930</v>
      </c>
      <c r="J144" s="182">
        <f t="shared" si="2"/>
        <v>46110</v>
      </c>
      <c r="K144" s="177"/>
      <c r="L144" s="177"/>
      <c r="M144" s="177"/>
      <c r="N144" s="177"/>
      <c r="O144" s="177"/>
      <c r="P144" s="177"/>
      <c r="Q144" s="177"/>
    </row>
    <row r="145" spans="1:17" x14ac:dyDescent="0.25">
      <c r="A145" s="168">
        <v>0</v>
      </c>
      <c r="B145" s="168">
        <v>1</v>
      </c>
      <c r="C145" s="177"/>
      <c r="D145" s="178">
        <v>17.03</v>
      </c>
      <c r="E145" s="172">
        <f>Summary!E143</f>
        <v>0</v>
      </c>
      <c r="G145" s="180" t="str">
        <f>Summary!G143</f>
        <v>Medium</v>
      </c>
      <c r="H145" s="181">
        <f>Summary!F143</f>
        <v>0</v>
      </c>
      <c r="I145" s="182">
        <f>GlobalSettings!$C$14</f>
        <v>45930</v>
      </c>
      <c r="J145" s="182">
        <f t="shared" si="2"/>
        <v>46110</v>
      </c>
      <c r="K145" s="177"/>
      <c r="L145" s="177"/>
      <c r="M145" s="177"/>
      <c r="N145" s="177"/>
      <c r="O145" s="177"/>
      <c r="P145" s="177"/>
      <c r="Q145" s="177"/>
    </row>
    <row r="146" spans="1:17" x14ac:dyDescent="0.25">
      <c r="A146" s="168">
        <v>9</v>
      </c>
      <c r="B146" s="168">
        <v>2</v>
      </c>
      <c r="C146" s="177"/>
      <c r="D146" s="178">
        <v>17.04</v>
      </c>
      <c r="E146" s="172">
        <f>Summary!E144</f>
        <v>0</v>
      </c>
      <c r="G146" s="180" t="str">
        <f>Summary!G144</f>
        <v>High</v>
      </c>
      <c r="H146" s="181">
        <f>Summary!F144</f>
        <v>0</v>
      </c>
      <c r="I146" s="182">
        <f>GlobalSettings!$C$14</f>
        <v>45930</v>
      </c>
      <c r="J146" s="182">
        <f t="shared" si="2"/>
        <v>46020</v>
      </c>
      <c r="K146" s="177"/>
      <c r="L146" s="177"/>
      <c r="M146" s="177"/>
      <c r="N146" s="177"/>
      <c r="O146" s="177"/>
      <c r="P146" s="177"/>
      <c r="Q146" s="177"/>
    </row>
    <row r="147" spans="1:17" x14ac:dyDescent="0.25">
      <c r="A147" s="168">
        <v>9</v>
      </c>
      <c r="B147" s="168">
        <v>2</v>
      </c>
      <c r="C147" s="177"/>
      <c r="D147" s="178">
        <v>17.05</v>
      </c>
      <c r="E147" s="172">
        <f>Summary!E145</f>
        <v>0</v>
      </c>
      <c r="G147" s="180" t="str">
        <f>Summary!G145</f>
        <v>Medium</v>
      </c>
      <c r="H147" s="181">
        <f>Summary!F145</f>
        <v>0</v>
      </c>
      <c r="I147" s="182">
        <f>GlobalSettings!$C$14</f>
        <v>45930</v>
      </c>
      <c r="J147" s="182">
        <f t="shared" si="2"/>
        <v>46110</v>
      </c>
      <c r="K147" s="177"/>
      <c r="L147" s="177"/>
      <c r="M147" s="177"/>
      <c r="N147" s="177"/>
      <c r="O147" s="177"/>
      <c r="P147" s="177"/>
      <c r="Q147" s="177"/>
    </row>
    <row r="148" spans="1:17" x14ac:dyDescent="0.25">
      <c r="A148" s="168">
        <v>9</v>
      </c>
      <c r="B148" s="168">
        <v>2</v>
      </c>
      <c r="C148" s="177"/>
      <c r="D148" s="178">
        <v>17.059999999999999</v>
      </c>
      <c r="E148" s="172">
        <f>Summary!E146</f>
        <v>0</v>
      </c>
      <c r="G148" s="180" t="str">
        <f>Summary!G146</f>
        <v>Medium</v>
      </c>
      <c r="H148" s="181">
        <f>Summary!F146</f>
        <v>0</v>
      </c>
      <c r="I148" s="182">
        <f>GlobalSettings!$C$14</f>
        <v>45930</v>
      </c>
      <c r="J148" s="182">
        <f t="shared" si="2"/>
        <v>46110</v>
      </c>
      <c r="K148" s="177"/>
      <c r="L148" s="177"/>
      <c r="M148" s="177"/>
      <c r="N148" s="177"/>
      <c r="O148" s="177"/>
      <c r="P148" s="177"/>
      <c r="Q148" s="177"/>
    </row>
    <row r="149" spans="1:17" x14ac:dyDescent="0.25">
      <c r="A149" s="168">
        <v>9</v>
      </c>
      <c r="B149" s="168">
        <v>2</v>
      </c>
      <c r="C149" s="177"/>
      <c r="D149" s="178">
        <v>17.07</v>
      </c>
      <c r="E149" s="172">
        <f>Summary!E147</f>
        <v>0</v>
      </c>
      <c r="G149" s="180" t="str">
        <f>Summary!G147</f>
        <v>Medium</v>
      </c>
      <c r="H149" s="181">
        <f>Summary!F147</f>
        <v>0</v>
      </c>
      <c r="I149" s="182">
        <f>GlobalSettings!$C$14</f>
        <v>45930</v>
      </c>
      <c r="J149" s="182">
        <f t="shared" si="2"/>
        <v>46110</v>
      </c>
      <c r="K149" s="177"/>
      <c r="L149" s="177"/>
      <c r="M149" s="177"/>
      <c r="N149" s="177"/>
      <c r="O149" s="177"/>
      <c r="P149" s="177"/>
      <c r="Q149" s="177"/>
    </row>
    <row r="150" spans="1:17" x14ac:dyDescent="0.25">
      <c r="A150" s="168">
        <v>9</v>
      </c>
      <c r="B150" s="168">
        <v>2</v>
      </c>
      <c r="C150" s="177"/>
      <c r="D150" s="178">
        <v>17.079999999999998</v>
      </c>
      <c r="E150" s="172">
        <f>Summary!E148</f>
        <v>0</v>
      </c>
      <c r="G150" s="180" t="str">
        <f>Summary!G148</f>
        <v>Medium</v>
      </c>
      <c r="H150" s="181">
        <f>Summary!F148</f>
        <v>0</v>
      </c>
      <c r="I150" s="182">
        <f>GlobalSettings!$C$14</f>
        <v>45930</v>
      </c>
      <c r="J150" s="182">
        <f t="shared" si="2"/>
        <v>46110</v>
      </c>
      <c r="K150" s="177"/>
      <c r="L150" s="177"/>
      <c r="M150" s="177"/>
      <c r="N150" s="177"/>
      <c r="O150" s="177"/>
      <c r="P150" s="177"/>
      <c r="Q150" s="177"/>
    </row>
    <row r="151" spans="1:17" x14ac:dyDescent="0.25">
      <c r="A151" s="168">
        <v>9</v>
      </c>
      <c r="B151" s="168">
        <v>3</v>
      </c>
      <c r="C151" s="177"/>
      <c r="D151" s="178">
        <v>17.09</v>
      </c>
      <c r="E151" s="172">
        <f>Summary!E149</f>
        <v>0</v>
      </c>
      <c r="G151" s="180" t="str">
        <f>Summary!G149</f>
        <v>Medium</v>
      </c>
      <c r="H151" s="181">
        <f>Summary!F149</f>
        <v>0</v>
      </c>
      <c r="I151" s="182">
        <f>GlobalSettings!$C$14</f>
        <v>45930</v>
      </c>
      <c r="J151" s="182">
        <f t="shared" si="2"/>
        <v>46110</v>
      </c>
      <c r="K151" s="177"/>
      <c r="L151" s="177"/>
      <c r="M151" s="177"/>
      <c r="N151" s="177"/>
      <c r="O151" s="177"/>
      <c r="P151" s="177"/>
      <c r="Q151" s="177"/>
    </row>
    <row r="152" spans="1:17" x14ac:dyDescent="0.25">
      <c r="A152" s="168">
        <v>9</v>
      </c>
      <c r="B152" s="168">
        <v>2</v>
      </c>
      <c r="C152" s="177"/>
      <c r="D152" s="178">
        <v>18.010000000000002</v>
      </c>
      <c r="E152" s="172">
        <f>Summary!E150</f>
        <v>0</v>
      </c>
      <c r="G152" s="180" t="str">
        <f>Summary!G150</f>
        <v>High</v>
      </c>
      <c r="H152" s="181">
        <f>Summary!F150</f>
        <v>0</v>
      </c>
      <c r="I152" s="182">
        <f>GlobalSettings!$C$14</f>
        <v>45930</v>
      </c>
      <c r="J152" s="182">
        <f t="shared" si="2"/>
        <v>46020</v>
      </c>
      <c r="K152" s="177"/>
      <c r="L152" s="177"/>
      <c r="M152" s="177"/>
      <c r="N152" s="177"/>
      <c r="O152" s="177"/>
      <c r="P152" s="177"/>
      <c r="Q152" s="177"/>
    </row>
    <row r="153" spans="1:17" x14ac:dyDescent="0.25">
      <c r="A153" s="168">
        <v>0</v>
      </c>
      <c r="B153" s="168">
        <v>2</v>
      </c>
      <c r="C153" s="177"/>
      <c r="D153" s="178">
        <v>18.02</v>
      </c>
      <c r="E153" s="172">
        <f>Summary!E151</f>
        <v>0</v>
      </c>
      <c r="G153" s="180" t="str">
        <f>Summary!G151</f>
        <v>High</v>
      </c>
      <c r="H153" s="181">
        <f>Summary!F151</f>
        <v>0</v>
      </c>
      <c r="I153" s="182">
        <f>GlobalSettings!$C$14</f>
        <v>45930</v>
      </c>
      <c r="J153" s="182">
        <f t="shared" si="2"/>
        <v>46020</v>
      </c>
      <c r="K153" s="177"/>
      <c r="L153" s="177"/>
      <c r="M153" s="177"/>
      <c r="N153" s="177"/>
      <c r="O153" s="177"/>
      <c r="P153" s="177"/>
      <c r="Q153" s="177"/>
    </row>
    <row r="154" spans="1:17" x14ac:dyDescent="0.25">
      <c r="A154" s="168">
        <v>9</v>
      </c>
      <c r="B154" s="168">
        <v>2</v>
      </c>
      <c r="C154" s="177"/>
      <c r="D154" s="178">
        <v>18.03</v>
      </c>
      <c r="E154" s="172">
        <f>Summary!E152</f>
        <v>0</v>
      </c>
      <c r="G154" s="180" t="str">
        <f>Summary!G152</f>
        <v>Critical</v>
      </c>
      <c r="H154" s="181">
        <f>Summary!F152</f>
        <v>0</v>
      </c>
      <c r="I154" s="182">
        <f>GlobalSettings!$C$14</f>
        <v>45930</v>
      </c>
      <c r="J154" s="182">
        <f t="shared" si="2"/>
        <v>45960</v>
      </c>
      <c r="K154" s="177"/>
      <c r="L154" s="177"/>
      <c r="M154" s="177"/>
      <c r="N154" s="177"/>
      <c r="O154" s="177"/>
      <c r="P154" s="177"/>
      <c r="Q154" s="177"/>
    </row>
    <row r="155" spans="1:17" x14ac:dyDescent="0.25">
      <c r="A155" s="168">
        <v>9</v>
      </c>
      <c r="B155" s="168">
        <v>3</v>
      </c>
      <c r="C155" s="177"/>
      <c r="D155" s="178">
        <v>18.04</v>
      </c>
      <c r="E155" s="172">
        <f>Summary!E153</f>
        <v>0</v>
      </c>
      <c r="G155" s="180" t="str">
        <f>Summary!G153</f>
        <v>Medium</v>
      </c>
      <c r="H155" s="181">
        <f>Summary!F153</f>
        <v>0</v>
      </c>
      <c r="I155" s="182">
        <f>GlobalSettings!$C$14</f>
        <v>45930</v>
      </c>
      <c r="J155" s="182">
        <f t="shared" si="2"/>
        <v>46110</v>
      </c>
      <c r="K155" s="177"/>
      <c r="L155" s="177"/>
      <c r="M155" s="177"/>
      <c r="N155" s="177"/>
      <c r="O155" s="177"/>
      <c r="P155" s="177"/>
      <c r="Q155" s="177"/>
    </row>
    <row r="156" spans="1:17" x14ac:dyDescent="0.25">
      <c r="A156" s="168">
        <v>9</v>
      </c>
      <c r="B156" s="168">
        <v>3</v>
      </c>
      <c r="C156" s="177"/>
      <c r="D156" s="178">
        <v>18.05</v>
      </c>
      <c r="E156" s="172">
        <f>Summary!E154</f>
        <v>0</v>
      </c>
      <c r="G156" s="180" t="str">
        <f>Summary!G154</f>
        <v>Critical</v>
      </c>
      <c r="H156" s="181">
        <f>Summary!F154</f>
        <v>0</v>
      </c>
      <c r="I156" s="182">
        <f>GlobalSettings!$C$14</f>
        <v>45930</v>
      </c>
      <c r="J156" s="182">
        <f t="shared" si="2"/>
        <v>45960</v>
      </c>
      <c r="K156" s="177"/>
      <c r="L156" s="177"/>
      <c r="M156" s="177"/>
      <c r="N156" s="177"/>
      <c r="O156" s="177"/>
      <c r="P156" s="177"/>
      <c r="Q156" s="177"/>
    </row>
  </sheetData>
  <sheetProtection formatRows="0" selectLockedCells="1" sort="0" autoFilter="0"/>
  <autoFilter ref="A1:Q156" xr:uid="{3306F748-07E4-4CAD-915D-9EECB1F5261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C9C71-C6A9-400E-B9BC-DBA7F07F9967}">
  <sheetPr codeName="Sheet22"/>
  <dimension ref="B2:F17"/>
  <sheetViews>
    <sheetView showGridLines="0" workbookViewId="0">
      <selection activeCell="B4" sqref="B4:F17"/>
    </sheetView>
  </sheetViews>
  <sheetFormatPr defaultColWidth="9.140625" defaultRowHeight="15.75" customHeight="1" x14ac:dyDescent="0.25"/>
  <cols>
    <col min="1" max="3" width="5.7109375" style="51" customWidth="1"/>
    <col min="4" max="4" width="90.7109375" style="51" customWidth="1"/>
    <col min="5" max="5" width="10.7109375" style="51" customWidth="1"/>
    <col min="6" max="6" width="120.7109375" style="51" customWidth="1"/>
    <col min="7" max="16384" width="9.140625" style="51"/>
  </cols>
  <sheetData>
    <row r="2" spans="2:6" ht="15.75" customHeight="1" x14ac:dyDescent="0.25">
      <c r="B2" s="214" t="s">
        <v>2050</v>
      </c>
      <c r="C2" s="214"/>
      <c r="D2" s="214"/>
      <c r="E2" s="214" t="s">
        <v>2051</v>
      </c>
      <c r="F2" s="214"/>
    </row>
    <row r="4" spans="2:6" ht="15.75" customHeight="1" x14ac:dyDescent="0.25">
      <c r="B4" s="146" t="s">
        <v>2052</v>
      </c>
      <c r="C4" s="215" t="s">
        <v>548</v>
      </c>
      <c r="D4" s="215"/>
      <c r="E4" s="146" t="s">
        <v>320</v>
      </c>
      <c r="F4" s="146" t="s">
        <v>321</v>
      </c>
    </row>
    <row r="5" spans="2:6" ht="15.75" customHeight="1" x14ac:dyDescent="0.25">
      <c r="B5" s="25"/>
      <c r="C5" s="28" t="s">
        <v>322</v>
      </c>
      <c r="D5" s="28"/>
      <c r="E5" s="28"/>
      <c r="F5" s="28"/>
    </row>
    <row r="6" spans="2:6" ht="15.75" customHeight="1" x14ac:dyDescent="0.25">
      <c r="B6" s="25"/>
      <c r="C6" s="28" t="s">
        <v>327</v>
      </c>
      <c r="D6" s="28"/>
      <c r="E6" s="28"/>
      <c r="F6" s="28"/>
    </row>
    <row r="7" spans="2:6" ht="15.75" customHeight="1" x14ac:dyDescent="0.25">
      <c r="B7" s="25"/>
      <c r="C7" s="28" t="s">
        <v>330</v>
      </c>
      <c r="D7" s="28"/>
      <c r="E7" s="28"/>
      <c r="F7" s="28"/>
    </row>
    <row r="8" spans="2:6" ht="15.75" customHeight="1" x14ac:dyDescent="0.25">
      <c r="B8" s="25"/>
      <c r="C8" s="28" t="s">
        <v>332</v>
      </c>
      <c r="D8" s="28"/>
      <c r="E8" s="28"/>
      <c r="F8" s="28"/>
    </row>
    <row r="9" spans="2:6" ht="15.75" customHeight="1" x14ac:dyDescent="0.25">
      <c r="B9" s="25"/>
      <c r="C9" s="28" t="s">
        <v>335</v>
      </c>
      <c r="D9" s="28"/>
      <c r="E9" s="28"/>
      <c r="F9" s="28"/>
    </row>
    <row r="10" spans="2:6" ht="15.75" customHeight="1" x14ac:dyDescent="0.25">
      <c r="B10" s="25"/>
      <c r="C10" s="28" t="s">
        <v>338</v>
      </c>
      <c r="D10" s="28"/>
      <c r="E10" s="28"/>
      <c r="F10" s="28"/>
    </row>
    <row r="11" spans="2:6" ht="15.75" customHeight="1" x14ac:dyDescent="0.25">
      <c r="B11" s="25"/>
      <c r="C11" s="28" t="s">
        <v>341</v>
      </c>
      <c r="D11" s="28"/>
      <c r="E11" s="28"/>
      <c r="F11" s="28"/>
    </row>
    <row r="12" spans="2:6" ht="15.75" customHeight="1" x14ac:dyDescent="0.25">
      <c r="B12" s="25"/>
      <c r="C12" s="28" t="s">
        <v>344</v>
      </c>
      <c r="D12" s="28"/>
      <c r="E12" s="28"/>
      <c r="F12" s="28"/>
    </row>
    <row r="13" spans="2:6" ht="15.75" customHeight="1" x14ac:dyDescent="0.25">
      <c r="C13" s="28" t="s">
        <v>522</v>
      </c>
      <c r="D13" s="28"/>
      <c r="E13" s="28"/>
      <c r="F13" s="28"/>
    </row>
    <row r="14" spans="2:6" ht="15.75" customHeight="1" thickBot="1" x14ac:dyDescent="0.3">
      <c r="C14" s="28" t="s">
        <v>1014</v>
      </c>
      <c r="D14" s="28"/>
      <c r="E14" s="28"/>
      <c r="F14" s="28"/>
    </row>
    <row r="15" spans="2:6" ht="15.75" customHeight="1" thickBot="1" x14ac:dyDescent="0.3">
      <c r="D15" s="45" t="s">
        <v>1501</v>
      </c>
      <c r="E15" s="46"/>
      <c r="F15" s="37"/>
    </row>
    <row r="16" spans="2:6" ht="15.75" customHeight="1" thickBot="1" x14ac:dyDescent="0.3">
      <c r="D16" s="45" t="s">
        <v>1501</v>
      </c>
      <c r="E16" s="46"/>
      <c r="F16" s="37"/>
    </row>
    <row r="17" spans="4:6" ht="15.75" customHeight="1" thickBot="1" x14ac:dyDescent="0.3">
      <c r="D17" s="47" t="s">
        <v>924</v>
      </c>
      <c r="E17" s="44"/>
      <c r="F17" s="37"/>
    </row>
  </sheetData>
  <mergeCells count="3">
    <mergeCell ref="B2:D2"/>
    <mergeCell ref="E2:F2"/>
    <mergeCell ref="C4:D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697B730AD1E740B721C5FE4A5064C2" ma:contentTypeVersion="21" ma:contentTypeDescription="Create a new document." ma:contentTypeScope="" ma:versionID="65497d8cb8f132cae447f7a41eb6daa2">
  <xsd:schema xmlns:xsd="http://www.w3.org/2001/XMLSchema" xmlns:xs="http://www.w3.org/2001/XMLSchema" xmlns:p="http://schemas.microsoft.com/office/2006/metadata/properties" xmlns:ns2="ffc39b38-3aaa-47ed-9103-8c7cadbc947a" xmlns:ns3="b6eb12b2-3c67-4b7a-83f9-1af312d76eb7" xmlns:ns4="http://schemas.microsoft.com/sharepoint/v3/fields" targetNamespace="http://schemas.microsoft.com/office/2006/metadata/properties" ma:root="true" ma:fieldsID="740b8a37c61a0bdc8b081b746c21fed6" ns2:_="" ns3:_="" ns4:_="">
    <xsd:import namespace="ffc39b38-3aaa-47ed-9103-8c7cadbc947a"/>
    <xsd:import namespace="b6eb12b2-3c67-4b7a-83f9-1af312d76eb7"/>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3:TaxKeywordTaxHTField" minOccurs="0"/>
                <xsd:element ref="ns3:TaxCatchAll" minOccurs="0"/>
                <xsd:element ref="ns4:_Version" minOccurs="0"/>
                <xsd:element ref="ns2:MediaLengthInSecond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c39b38-3aaa-47ed-9103-8c7cadbc94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3bc13bb2-4050-4808-9050-3ebd68b2d7b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eb12b2-3c67-4b7a-83f9-1af312d76eb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KeywordTaxHTField" ma:index="20" nillable="true" ma:taxonomy="true" ma:internalName="TaxKeywordTaxHTField" ma:taxonomyFieldName="TaxKeyword" ma:displayName="Enterprise Keywords" ma:fieldId="{23f27201-bee3-471e-b2e7-b64fd8b7ca38}" ma:taxonomyMulti="true" ma:sspId="3bc13bb2-4050-4808-9050-3ebd68b2d7b0" ma:termSetId="00000000-0000-0000-0000-000000000000" ma:anchorId="00000000-0000-0000-0000-000000000000" ma:open="true" ma:isKeyword="true">
      <xsd:complexType>
        <xsd:sequence>
          <xsd:element ref="pc:Terms" minOccurs="0" maxOccurs="1"/>
        </xsd:sequence>
      </xsd:complexType>
    </xsd:element>
    <xsd:element name="TaxCatchAll" ma:index="21" nillable="true" ma:displayName="Taxonomy Catch All Column" ma:hidden="true" ma:list="{68d3b606-597d-4859-a0c5-5143cc5fc381}" ma:internalName="TaxCatchAll" ma:showField="CatchAllData" ma:web="b6eb12b2-3c67-4b7a-83f9-1af312d76e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2" nillable="true" ma:displayName="Version" ma:internalName="_Vers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b6eb12b2-3c67-4b7a-83f9-1af312d76eb7">
      <Terms xmlns="http://schemas.microsoft.com/office/infopath/2007/PartnerControls"/>
    </TaxKeywordTaxHTField>
    <SharedWithUsers xmlns="b6eb12b2-3c67-4b7a-83f9-1af312d76eb7">
      <UserInfo>
        <DisplayName/>
        <AccountId xsi:nil="true"/>
        <AccountType/>
      </UserInfo>
    </SharedWithUsers>
    <_Version xmlns="http://schemas.microsoft.com/sharepoint/v3/fields" xsi:nil="true"/>
    <lcf76f155ced4ddcb4097134ff3c332f xmlns="ffc39b38-3aaa-47ed-9103-8c7cadbc947a">
      <Terms xmlns="http://schemas.microsoft.com/office/infopath/2007/PartnerControls"/>
    </lcf76f155ced4ddcb4097134ff3c332f>
    <TaxCatchAll xmlns="b6eb12b2-3c67-4b7a-83f9-1af312d76e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80E249-F246-405B-B2F1-20793EB13B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c39b38-3aaa-47ed-9103-8c7cadbc947a"/>
    <ds:schemaRef ds:uri="b6eb12b2-3c67-4b7a-83f9-1af312d76eb7"/>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4651E4-F5D6-4DC7-9E68-4D00407497AF}">
  <ds:schemaRefs>
    <ds:schemaRef ds:uri="http://schemas.microsoft.com/office/2006/metadata/properties"/>
    <ds:schemaRef ds:uri="http://purl.org/dc/dcmitype/"/>
    <ds:schemaRef ds:uri="ffc39b38-3aaa-47ed-9103-8c7cadbc947a"/>
    <ds:schemaRef ds:uri="http://purl.org/dc/terms/"/>
    <ds:schemaRef ds:uri="http://schemas.microsoft.com/sharepoint/v3/field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b6eb12b2-3c67-4b7a-83f9-1af312d76eb7"/>
    <ds:schemaRef ds:uri="http://purl.org/dc/elements/1.1/"/>
  </ds:schemaRefs>
</ds:datastoreItem>
</file>

<file path=customXml/itemProps3.xml><?xml version="1.0" encoding="utf-8"?>
<ds:datastoreItem xmlns:ds="http://schemas.openxmlformats.org/officeDocument/2006/customXml" ds:itemID="{D5185F64-DA2D-49C8-99DE-AE55BACE1930}">
  <ds:schemaRefs>
    <ds:schemaRef ds:uri="http://schemas.microsoft.com/sharepoint/v3/contenttype/forms"/>
  </ds:schemaRefs>
</ds:datastoreItem>
</file>

<file path=docMetadata/LabelInfo.xml><?xml version="1.0" encoding="utf-8"?>
<clbl:labelList xmlns:clbl="http://schemas.microsoft.com/office/2020/mipLabelMetadata">
  <clbl:label id="{0bef47d3-7438-460f-b1fd-1b90a7e4b511}" enabled="1" method="Privileged" siteId="{aa3f6932-fa7c-47b4-a0ce-a598cad161c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vt:i4>
      </vt:variant>
    </vt:vector>
  </HeadingPairs>
  <TitlesOfParts>
    <vt:vector size="28" baseType="lpstr">
      <vt:lpstr>Info</vt:lpstr>
      <vt:lpstr>GlobalSettings</vt:lpstr>
      <vt:lpstr>Dashboards</vt:lpstr>
      <vt:lpstr>Artifacts</vt:lpstr>
      <vt:lpstr>ScoringTables</vt:lpstr>
      <vt:lpstr>Control 01</vt:lpstr>
      <vt:lpstr>Control 02</vt:lpstr>
      <vt:lpstr>Control 03</vt:lpstr>
      <vt:lpstr>Control 04</vt:lpstr>
      <vt:lpstr>Control 05</vt:lpstr>
      <vt:lpstr>Control 06</vt:lpstr>
      <vt:lpstr>Control 07</vt:lpstr>
      <vt:lpstr>Control 08</vt:lpstr>
      <vt:lpstr>Control 09</vt:lpstr>
      <vt:lpstr>Control 10</vt:lpstr>
      <vt:lpstr>Control 11</vt:lpstr>
      <vt:lpstr>Control 12</vt:lpstr>
      <vt:lpstr>Control 13</vt:lpstr>
      <vt:lpstr>Control 14</vt:lpstr>
      <vt:lpstr>Control 15</vt:lpstr>
      <vt:lpstr>Control 16</vt:lpstr>
      <vt:lpstr>Control 17</vt:lpstr>
      <vt:lpstr>Control 18</vt:lpstr>
      <vt:lpstr>Summary</vt:lpstr>
      <vt:lpstr>POAM</vt:lpstr>
      <vt:lpstr>Template</vt:lpstr>
      <vt:lpstr>Dashboards!Print_Area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YOUNGER Stephen * DAS</dc:creator>
  <cp:keywords/>
  <dc:description/>
  <cp:lastModifiedBy>YOUNGER Stephen * DAS</cp:lastModifiedBy>
  <cp:revision/>
  <dcterms:created xsi:type="dcterms:W3CDTF">2015-06-05T18:17:20Z</dcterms:created>
  <dcterms:modified xsi:type="dcterms:W3CDTF">2026-01-16T22:26:54Z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bef47d3-7438-460f-b1fd-1b90a7e4b511_Enabled">
    <vt:lpwstr>true</vt:lpwstr>
  </property>
  <property fmtid="{D5CDD505-2E9C-101B-9397-08002B2CF9AE}" pid="3" name="MSIP_Label_0bef47d3-7438-460f-b1fd-1b90a7e4b511_SetDate">
    <vt:lpwstr>2025-04-29T14:58:15Z</vt:lpwstr>
  </property>
  <property fmtid="{D5CDD505-2E9C-101B-9397-08002B2CF9AE}" pid="4" name="MSIP_Label_0bef47d3-7438-460f-b1fd-1b90a7e4b511_Method">
    <vt:lpwstr>Privileged</vt:lpwstr>
  </property>
  <property fmtid="{D5CDD505-2E9C-101B-9397-08002B2CF9AE}" pid="5" name="MSIP_Label_0bef47d3-7438-460f-b1fd-1b90a7e4b511_Name">
    <vt:lpwstr>Level 3 - Restricted (Items)</vt:lpwstr>
  </property>
  <property fmtid="{D5CDD505-2E9C-101B-9397-08002B2CF9AE}" pid="6" name="MSIP_Label_0bef47d3-7438-460f-b1fd-1b90a7e4b511_SiteId">
    <vt:lpwstr>aa3f6932-fa7c-47b4-a0ce-a598cad161cf</vt:lpwstr>
  </property>
  <property fmtid="{D5CDD505-2E9C-101B-9397-08002B2CF9AE}" pid="7" name="MSIP_Label_0bef47d3-7438-460f-b1fd-1b90a7e4b511_ActionId">
    <vt:lpwstr>5b2977e3-e177-4787-a35b-7325aae315e3</vt:lpwstr>
  </property>
  <property fmtid="{D5CDD505-2E9C-101B-9397-08002B2CF9AE}" pid="8" name="MSIP_Label_0bef47d3-7438-460f-b1fd-1b90a7e4b511_ContentBits">
    <vt:lpwstr>2</vt:lpwstr>
  </property>
  <property fmtid="{D5CDD505-2E9C-101B-9397-08002B2CF9AE}" pid="9" name="MSIP_Label_0bef47d3-7438-460f-b1fd-1b90a7e4b511_Tag">
    <vt:lpwstr>10, 0, 1, 1</vt:lpwstr>
  </property>
  <property fmtid="{D5CDD505-2E9C-101B-9397-08002B2CF9AE}" pid="10" name="TaxKeyword">
    <vt:lpwstr/>
  </property>
  <property fmtid="{D5CDD505-2E9C-101B-9397-08002B2CF9AE}" pid="11" name="MediaServiceImageTags">
    <vt:lpwstr/>
  </property>
  <property fmtid="{D5CDD505-2E9C-101B-9397-08002B2CF9AE}" pid="12" name="ContentTypeId">
    <vt:lpwstr>0x010100F0697B730AD1E740B721C5FE4A5064C2</vt:lpwstr>
  </property>
  <property fmtid="{D5CDD505-2E9C-101B-9397-08002B2CF9AE}" pid="13" name="ComplianceAssetId">
    <vt:lpwstr/>
  </property>
  <property fmtid="{D5CDD505-2E9C-101B-9397-08002B2CF9AE}" pid="14" name="_ExtendedDescription">
    <vt:lpwstr/>
  </property>
  <property fmtid="{D5CDD505-2E9C-101B-9397-08002B2CF9AE}" pid="15" name="TriggerFlowInfo">
    <vt:lpwstr/>
  </property>
</Properties>
</file>